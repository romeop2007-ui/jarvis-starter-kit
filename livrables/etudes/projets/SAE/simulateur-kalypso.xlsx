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ME" sheetId="1" r:id="rId1"/>
    <sheet name="Parametres" sheetId="2" r:id="rId2"/>
    <sheet name="Production" sheetId="3" r:id="rId3"/>
    <sheet name="CoutRevient" sheetId="4" r:id="rId4"/>
    <sheet name="Marges" sheetId="5" r:id="rId5"/>
    <sheet name="Resultat" sheetId="6" r:id="rId6"/>
    <sheet name="Decisions" sheetId="7" r:id="rId7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6" formatCode="0\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workbookViewId="0" rightToLeft="0"/>
  </sheetViews>
  <sheetData>
    <row r="1" ht="15.75" customHeight="1">
      <c r="A1" t="str">
        <v>SIMULATEUR KALYPSO — MODE D'EMPLOI</v>
      </c>
    </row>
    <row r="3" ht="15.75" customHeight="1">
      <c r="A3" t="str">
        <v>Construit par Jarvis pour la SAE BUT GEA. Le jour J : on remplit les cases marquees [A REMPLIR] et tout se recalcule.</v>
      </c>
    </row>
    <row r="5" ht="15.75" customHeight="1">
      <c r="A5" t="str">
        <v>ONGLETS :</v>
      </c>
    </row>
    <row r="6" ht="15.75" customHeight="1">
      <c r="A6" t="str">
        <v>1. Parametres</v>
      </c>
      <c r="B6" t="str">
        <v>Toutes les donnees du jeu. Choisis le fournisseur via "Prix retenu".</v>
      </c>
    </row>
    <row r="7" ht="15.75" customHeight="1">
      <c r="A7" t="str">
        <v>2. Production</v>
      </c>
      <c r="B7" t="str">
        <v>Entre les quantites a produire -&gt; verifie le goulot MOULAGE (alerte si depassement).</v>
      </c>
    </row>
    <row r="8" ht="15.75" customHeight="1">
      <c r="A8" t="str">
        <v>3. CoutRevient</v>
      </c>
      <c r="B8" t="str">
        <v>Cout unitaire calcule de chaque bateau (matieres + heures machine).</v>
      </c>
    </row>
    <row r="9" ht="15.75" customHeight="1">
      <c r="A9" t="str">
        <v>4. Marges</v>
      </c>
      <c r="B9" t="str">
        <v>Entre les PRIX DE VENTE (etude Markinform) -&gt; regarde "Marge par HTM moulage".</v>
      </c>
    </row>
    <row r="10" ht="15.75" customHeight="1">
      <c r="A10" t="str">
        <v>5. Resultat</v>
      </c>
      <c r="B10" t="str">
        <v>Compte de resultat mensuel. Remplis Publicite et Etudes.</v>
      </c>
    </row>
    <row r="11" ht="15.75" customHeight="1">
      <c r="A11" t="str">
        <v>6. Decisions</v>
      </c>
      <c r="B11" t="str">
        <v>Recap a recopier sur la feuille rouge.</v>
      </c>
    </row>
    <row r="13" ht="15.75" customHeight="1">
      <c r="A13" t="str">
        <v>REGLE D'OR :</v>
      </c>
    </row>
    <row r="14" ht="15.75" customHeight="1">
      <c r="A14" t="str">
        <v>- Le MOULAGE est le goulot. Toute la prod se cale dessus.</v>
      </c>
    </row>
    <row r="15" ht="15.75" customHeight="1">
      <c r="A15" t="str">
        <v>- "Marge par HTM moulage" (onglet Marges) = quel bateau privilegier.</v>
      </c>
    </row>
    <row r="16" ht="15.75" customHeight="1">
      <c r="A16" t="str">
        <v>- Ne jamais tomber en decouvert (13%/an d'agios).</v>
      </c>
    </row>
    <row r="18" ht="15.75" customHeight="1">
      <c r="A18" t="str">
        <v>Modele simplifie (pas de decalage de tresorerie). On l'affine le jour J avec la grille de notation.</v>
      </c>
    </row>
  </sheetData>
  <pageMargins left="0.7" right="0.7" top="0.75" bottom="0.75" header="0.3" footer="0.3"/>
  <ignoredErrors>
    <ignoredError numberStoredAsText="1" sqref="A1:B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62"/>
  <sheetViews>
    <sheetView workbookViewId="0" rightToLeft="0"/>
  </sheetViews>
  <sheetData>
    <row r="1" ht="15.75" customHeight="1">
      <c r="A1" t="str">
        <v>PARAMETRES DU JEU KALYPSO</v>
      </c>
    </row>
    <row r="3" ht="15.75" customHeight="1">
      <c r="A3" t="str">
        <v>--- MATIERES PREMIERES (prix unitaires) ---</v>
      </c>
    </row>
    <row r="4" ht="15.75" customHeight="1">
      <c r="A4" t="str">
        <v>Prix plastique P1 (comptant) EUR/t</v>
      </c>
      <c r="B4">
        <v>4100</v>
      </c>
    </row>
    <row r="5" ht="15.75" customHeight="1">
      <c r="A5" t="str">
        <v>Prix plastique P2 (1 mois) EUR/t</v>
      </c>
      <c r="B5">
        <v>4200</v>
      </c>
    </row>
    <row r="6" ht="15.75" customHeight="1">
      <c r="A6" t="str">
        <v>Prix plastique P3 (2 mois) EUR/t</v>
      </c>
      <c r="B6">
        <v>4300</v>
      </c>
    </row>
    <row r="7" ht="15.75" customHeight="1">
      <c r="A7" t="str">
        <v>Prix bois B1 (comptant) EUR/m3</v>
      </c>
      <c r="B7">
        <v>1300</v>
      </c>
    </row>
    <row r="8" ht="15.75" customHeight="1">
      <c r="A8" t="str">
        <v>Prix bois B2 (1 mois) EUR/m3</v>
      </c>
      <c r="B8">
        <v>1450</v>
      </c>
    </row>
    <row r="9" ht="15.75" customHeight="1">
      <c r="A9" t="str">
        <v>Prix bois B3 (2 mois) EUR/m3</v>
      </c>
      <c r="B9">
        <v>1600</v>
      </c>
    </row>
    <row r="11" ht="15.75" customHeight="1">
      <c r="A11" t="str">
        <v>Prix plastique RETENU (modifiable) EUR/t</v>
      </c>
      <c r="B11">
        <v>4200</v>
      </c>
      <c r="C11" t="str">
        <v>&lt;-- change selon fournisseur</v>
      </c>
    </row>
    <row r="12" ht="15.75" customHeight="1">
      <c r="A12" t="str">
        <v>Prix bois RETENU (modifiable) EUR/m3</v>
      </c>
      <c r="B12">
        <v>1450</v>
      </c>
      <c r="C12" t="str">
        <v>&lt;-- change selon fournisseur</v>
      </c>
    </row>
    <row r="14" ht="15.75" customHeight="1">
      <c r="A14" t="str">
        <v>--- CONSOMMATION MATIERES / BATEAU ---</v>
      </c>
    </row>
    <row r="15" ht="15.75" customHeight="1">
      <c r="B15" t="str">
        <v>Bateau A</v>
      </c>
      <c r="C15" t="str">
        <v>Bateau B</v>
      </c>
      <c r="D15" t="str">
        <v>Bateau C</v>
      </c>
    </row>
    <row r="16" ht="15.75" customHeight="1">
      <c r="A16" t="str">
        <v>Plastique (t)</v>
      </c>
      <c r="B16">
        <v>0.2</v>
      </c>
      <c r="C16">
        <v>0.4</v>
      </c>
      <c r="D16">
        <v>1</v>
      </c>
    </row>
    <row r="17" ht="15.75" customHeight="1">
      <c r="A17" t="str">
        <v>Bois (m3)</v>
      </c>
      <c r="B17">
        <v>0.1</v>
      </c>
      <c r="C17">
        <v>0.2</v>
      </c>
      <c r="D17">
        <v>0.5</v>
      </c>
    </row>
    <row r="19" ht="15.75" customHeight="1">
      <c r="A19" t="str">
        <v>--- HEURES MACHINE (HTM) / BATEAU ---</v>
      </c>
    </row>
    <row r="20" ht="15.75" customHeight="1">
      <c r="B20" t="str">
        <v>Bateau A</v>
      </c>
      <c r="C20" t="str">
        <v>Bateau B</v>
      </c>
      <c r="D20" t="str">
        <v>Bateau C</v>
      </c>
    </row>
    <row r="21" ht="15.75" customHeight="1">
      <c r="A21" t="str">
        <v>Moulage (HTM)</v>
      </c>
      <c r="B21">
        <v>8</v>
      </c>
      <c r="C21">
        <v>12</v>
      </c>
      <c r="D21">
        <v>28</v>
      </c>
    </row>
    <row r="22" ht="15.75" customHeight="1">
      <c r="A22" t="str">
        <v>Finition (HTM)</v>
      </c>
      <c r="B22">
        <v>10</v>
      </c>
      <c r="C22">
        <v>14</v>
      </c>
      <c r="D22">
        <v>28</v>
      </c>
    </row>
    <row r="24" ht="15.75" customHeight="1">
      <c r="A24" t="str">
        <v>--- COUTS HORAIRES &amp; CAPACITE ---</v>
      </c>
    </row>
    <row r="25" ht="15.75" customHeight="1">
      <c r="A25" t="str">
        <v>Cout HTM moulage EUR/HTM</v>
      </c>
      <c r="B25">
        <v>25</v>
      </c>
    </row>
    <row r="26" ht="15.75" customHeight="1">
      <c r="A26" t="str">
        <v>Cout HTM finition EUR/HTM</v>
      </c>
      <c r="B26">
        <v>35</v>
      </c>
    </row>
    <row r="27" ht="15.75" customHeight="1">
      <c r="A27" t="str">
        <v>Capacite par robot (HTM/mois)</v>
      </c>
      <c r="B27">
        <v>200</v>
      </c>
    </row>
    <row r="28" ht="15.75" customHeight="1">
      <c r="A28" t="str">
        <v>Nb robots moulage</v>
      </c>
      <c r="B28">
        <v>4</v>
      </c>
    </row>
    <row r="29" ht="15.75" customHeight="1">
      <c r="A29" t="str">
        <v>Nb robots finition</v>
      </c>
      <c r="B29">
        <v>6</v>
      </c>
    </row>
    <row r="31" ht="15.75" customHeight="1">
      <c r="A31" t="str">
        <v>--- COUTS FIXES PRODUCTION ---</v>
      </c>
    </row>
    <row r="32" ht="15.75" customHeight="1">
      <c r="A32" t="str">
        <v>Entretien / robot / mois</v>
      </c>
      <c r="B32">
        <v>2000</v>
      </c>
    </row>
    <row r="33" ht="15.75" customHeight="1">
      <c r="A33" t="str">
        <v>Entretien atelier moulage / mois</v>
      </c>
      <c r="B33">
        <v>4000</v>
      </c>
    </row>
    <row r="34" ht="15.75" customHeight="1">
      <c r="A34" t="str">
        <v>Entretien atelier finition / mois</v>
      </c>
      <c r="B34">
        <v>3000</v>
      </c>
    </row>
    <row r="35" ht="15.75" customHeight="1">
      <c r="A35" t="str">
        <v>Valeur d'un robot</v>
      </c>
      <c r="B35">
        <v>75000</v>
      </c>
    </row>
    <row r="36" ht="15.75" customHeight="1">
      <c r="A36" t="str">
        <v>Duree amortissement robot (mois)</v>
      </c>
      <c r="B36">
        <v>60</v>
      </c>
    </row>
    <row r="38" ht="15.75" customHeight="1">
      <c r="A38" t="str">
        <v>--- FORCE DE VENTE ---</v>
      </c>
    </row>
    <row r="39" ht="15.75" customHeight="1">
      <c r="A39" t="str">
        <v>Nb representants</v>
      </c>
      <c r="B39">
        <v>7</v>
      </c>
    </row>
    <row r="40" ht="15.75" customHeight="1">
      <c r="A40" t="str">
        <v>Indice representants</v>
      </c>
      <c r="B40">
        <v>100</v>
      </c>
    </row>
    <row r="41" ht="15.75" customHeight="1">
      <c r="A41" t="str">
        <v>Valeur indice 100 (EUR brut/mois)</v>
      </c>
      <c r="B41">
        <v>1700</v>
      </c>
    </row>
    <row r="42" ht="15.75" customHeight="1">
      <c r="A42" t="str">
        <v>Taux commission (% du CA)</v>
      </c>
      <c r="B42">
        <v>0.08</v>
      </c>
    </row>
    <row r="44" ht="15.75" customHeight="1">
      <c r="A44" t="str">
        <v>--- PERSONNEL ADMINISTRATIF ---</v>
      </c>
    </row>
    <row r="45" ht="15.75" customHeight="1">
      <c r="A45" t="str">
        <v>Categorie</v>
      </c>
      <c r="B45" t="str">
        <v>Effectif</v>
      </c>
      <c r="C45" t="str">
        <v>Indice</v>
      </c>
    </row>
    <row r="46" ht="15.75" customHeight="1">
      <c r="A46" t="str">
        <v>Direction</v>
      </c>
      <c r="B46">
        <v>1</v>
      </c>
      <c r="C46">
        <v>450</v>
      </c>
    </row>
    <row r="47" ht="15.75" customHeight="1">
      <c r="A47" t="str">
        <v>Cadre</v>
      </c>
      <c r="B47">
        <v>2</v>
      </c>
      <c r="C47">
        <v>240</v>
      </c>
    </row>
    <row r="48" ht="15.75" customHeight="1">
      <c r="A48" t="str">
        <v>Employe</v>
      </c>
      <c r="B48">
        <v>5</v>
      </c>
      <c r="C48">
        <v>110</v>
      </c>
    </row>
    <row r="50" ht="15.75" customHeight="1">
      <c r="A50" t="str">
        <v>--- CHARGES SUBIES (fixe/mois + % du CA) ---</v>
      </c>
    </row>
    <row r="51" ht="15.75" customHeight="1">
      <c r="B51" t="str">
        <v>Fixe EUR/mois</v>
      </c>
      <c r="C51" t="str">
        <v>% du CA</v>
      </c>
    </row>
    <row r="52" ht="15.75" customHeight="1">
      <c r="A52" t="str">
        <v>Consommables</v>
      </c>
      <c r="B52">
        <v>10000</v>
      </c>
      <c r="C52">
        <v>0.025</v>
      </c>
    </row>
    <row r="53" ht="15.75" customHeight="1">
      <c r="A53" t="str">
        <v>Fournitures</v>
      </c>
      <c r="B53">
        <v>12000</v>
      </c>
      <c r="C53">
        <v>0.015</v>
      </c>
    </row>
    <row r="54" ht="15.75" customHeight="1">
      <c r="A54" t="str">
        <v>Deplacements/missions</v>
      </c>
      <c r="B54">
        <v>8000</v>
      </c>
      <c r="C54">
        <v>0.02</v>
      </c>
    </row>
    <row r="55" ht="15.75" customHeight="1">
      <c r="A55" t="str">
        <v>Postaux/telecom</v>
      </c>
      <c r="B55">
        <v>500</v>
      </c>
      <c r="C55">
        <v>0.005</v>
      </c>
    </row>
    <row r="57" ht="15.75" customHeight="1">
      <c r="A57" t="str">
        <v>--- SOCIAL &amp; FISCAL ---</v>
      </c>
    </row>
    <row r="58" ht="15.75" customHeight="1">
      <c r="A58" t="str">
        <v>Charges sociales (% remu)</v>
      </c>
      <c r="B58">
        <v>0.4</v>
      </c>
    </row>
    <row r="59" ht="15.75" customHeight="1">
      <c r="A59" t="str">
        <v>Impots/taxes sur salaires (% remu)</v>
      </c>
      <c r="B59">
        <v>0.05</v>
      </c>
    </row>
    <row r="60" ht="15.75" customHeight="1">
      <c r="A60" t="str">
        <v>Creances impayees (% CA encaisse)</v>
      </c>
      <c r="B60">
        <v>0.0375</v>
      </c>
    </row>
    <row r="61" ht="15.75" customHeight="1">
      <c r="A61" t="str">
        <v>Taux IS</v>
      </c>
      <c r="B61">
        <v>0.25</v>
      </c>
    </row>
    <row r="62" ht="15.75" customHeight="1">
      <c r="A62" t="str">
        <v>Taux TVA</v>
      </c>
      <c r="B62">
        <v>0.2</v>
      </c>
    </row>
  </sheetData>
  <pageMargins left="0.7" right="0.7" top="0.75" bottom="0.75" header="0.3" footer="0.3"/>
  <ignoredErrors>
    <ignoredError numberStoredAsText="1" sqref="A1:D6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26"/>
  <sheetViews>
    <sheetView workbookViewId="0" rightToLeft="0"/>
  </sheetViews>
  <sheetData>
    <row r="1" ht="15.75" customHeight="1">
      <c r="A1" t="str">
        <v>PRODUCTION — CAPACITE &amp; GOULOT</v>
      </c>
    </row>
    <row r="3" ht="15.75" customHeight="1">
      <c r="A3" t="str">
        <v>[A REMPLIR] Quantites a produire par mois</v>
      </c>
    </row>
    <row r="4" ht="15.75" customHeight="1">
      <c r="B4" t="str">
        <v>Bateau A</v>
      </c>
      <c r="C4" t="str">
        <v>Bateau B</v>
      </c>
      <c r="D4" t="str">
        <v>Bateau C</v>
      </c>
    </row>
    <row r="5" ht="15.75" customHeight="1">
      <c r="A5" t="str">
        <v>Quantite a produire</v>
      </c>
      <c r="B5">
        <v>80</v>
      </c>
      <c r="C5">
        <v>0</v>
      </c>
      <c r="D5">
        <v>0</v>
      </c>
    </row>
    <row r="7" ht="15.75" customHeight="1">
      <c r="A7" t="str">
        <v>CAPACITE DES ATELIERS (HTM/mois)</v>
      </c>
    </row>
    <row r="8" ht="15.75" customHeight="1">
      <c r="A8" t="str">
        <v>Capacite moulage</v>
      </c>
      <c r="B8">
        <f>Parametres!B27*Parametres!B28</f>
        <v>800</v>
      </c>
    </row>
    <row r="9" ht="15.75" customHeight="1">
      <c r="A9" t="str">
        <v>Capacite finition</v>
      </c>
      <c r="B9">
        <f>Parametres!B27*Parametres!B29</f>
        <v>1200</v>
      </c>
    </row>
    <row r="11" ht="15.75" customHeight="1">
      <c r="A11" t="str">
        <v>CONSOMMATION HTM PAR LA PRODUCTION</v>
      </c>
    </row>
    <row r="12" ht="15.75" customHeight="1">
      <c r="A12" t="str">
        <v>HTM moulage consommees</v>
      </c>
      <c r="B12">
        <f>B5*Parametres!B21+C5*Parametres!C21+D5*Parametres!D21</f>
        <v>640</v>
      </c>
    </row>
    <row r="13" ht="15.75" customHeight="1">
      <c r="A13" t="str">
        <v>HTM finition consommees</v>
      </c>
      <c r="B13">
        <f>B5*Parametres!B22+C5*Parametres!C22+D5*Parametres!D22</f>
        <v>800</v>
      </c>
    </row>
    <row r="15" ht="15.75" customHeight="1">
      <c r="A15" t="str">
        <v>TAUX D'UTILISATION</v>
      </c>
    </row>
    <row r="16" ht="15.75" customHeight="1">
      <c r="A16" t="str">
        <v>Moulage (goulot)</v>
      </c>
      <c r="B16" s="1">
        <f>IF(B8&gt;0,B12/B8,0)</f>
        <v>0.8</v>
      </c>
    </row>
    <row r="17" ht="15.75" customHeight="1">
      <c r="A17" t="str">
        <v>Finition</v>
      </c>
      <c r="B17" s="1">
        <f>IF(B9&gt;0,B13/B9,0)</f>
        <v>0.6666666666666666</v>
      </c>
    </row>
    <row r="19" ht="15.75" customHeight="1">
      <c r="A19" t="str">
        <v>ALERTE CAPACITE</v>
      </c>
    </row>
    <row r="20" ht="15.75" customHeight="1">
      <c r="A20" t="str">
        <v>Moulage</v>
      </c>
      <c r="B20" t="str">
        <f>IF(B12&gt;B8,"DEPASSEMENT MOULAGE",IF(B12=B8,"AU MAX","OK"))</f>
        <v>OK</v>
      </c>
    </row>
    <row r="21" ht="15.75" customHeight="1">
      <c r="A21" t="str">
        <v>Finition</v>
      </c>
      <c r="B21" t="str">
        <f>IF(B13&gt;B9,"DEPASSEMENT FINITION",IF(B13=B9,"AU MAX","OK"))</f>
        <v>OK</v>
      </c>
    </row>
    <row r="23" ht="15.75" customHeight="1">
      <c r="A23" t="str">
        <v>MAX THEORIQUE SI UN SEUL MODELE (capacite actuelle)</v>
      </c>
    </row>
    <row r="24" ht="15.75" customHeight="1">
      <c r="A24" t="str">
        <v>Si 100% A</v>
      </c>
      <c r="B24">
        <f>INT(MIN(Parametres!B27*Parametres!B28/Parametres!B21,Parametres!B27*Parametres!B29/Parametres!B22))</f>
        <v>100</v>
      </c>
    </row>
    <row r="25" ht="15.75" customHeight="1">
      <c r="A25" t="str">
        <v>Si 100% B</v>
      </c>
      <c r="B25">
        <f>INT(MIN(Parametres!B27*Parametres!B28/Parametres!C21,Parametres!B27*Parametres!B29/Parametres!C22))</f>
        <v>66</v>
      </c>
    </row>
    <row r="26" ht="15.75" customHeight="1">
      <c r="A26" t="str">
        <v>Si 100% C</v>
      </c>
      <c r="B26">
        <f>INT(MIN(Parametres!B27*Parametres!B28/Parametres!D21,Parametres!B27*Parametres!B29/Parametres!D22))</f>
        <v>28</v>
      </c>
    </row>
  </sheetData>
  <pageMargins left="0.7" right="0.7" top="0.75" bottom="0.75" header="0.3" footer="0.3"/>
  <ignoredErrors>
    <ignoredError numberStoredAsText="1" sqref="A1:D2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14"/>
  <sheetViews>
    <sheetView workbookViewId="0" rightToLeft="0"/>
  </sheetViews>
  <sheetData>
    <row r="1" ht="15.75" customHeight="1">
      <c r="A1" t="str">
        <v>COUT DE REVIENT UNITAIRE</v>
      </c>
    </row>
    <row r="3" ht="15.75" customHeight="1">
      <c r="A3" t="str">
        <v>Poste</v>
      </c>
      <c r="B3" t="str">
        <v>Bateau A</v>
      </c>
      <c r="C3" t="str">
        <v>Bateau B</v>
      </c>
      <c r="D3" t="str">
        <v>Bateau C</v>
      </c>
    </row>
    <row r="4" ht="15.75" customHeight="1">
      <c r="A4" t="str">
        <v>Cout plastique</v>
      </c>
      <c r="B4">
        <f>Parametres!B16*Parametres!B11</f>
        <v>840</v>
      </c>
      <c r="C4">
        <f>Parametres!C16*Parametres!B11</f>
        <v>1680</v>
      </c>
      <c r="D4">
        <f>Parametres!D16*Parametres!B11</f>
        <v>4200</v>
      </c>
    </row>
    <row r="5" ht="15.75" customHeight="1">
      <c r="A5" t="str">
        <v>Cout bois</v>
      </c>
      <c r="B5">
        <f>Parametres!B17*Parametres!B12</f>
        <v>145</v>
      </c>
      <c r="C5">
        <f>Parametres!C17*Parametres!B12</f>
        <v>290</v>
      </c>
      <c r="D5">
        <f>Parametres!D17*Parametres!B12</f>
        <v>725</v>
      </c>
    </row>
    <row r="6" ht="15.75" customHeight="1">
      <c r="A6" t="str">
        <v>Cout HTM moulage</v>
      </c>
      <c r="B6">
        <f>Parametres!B21*Parametres!B25</f>
        <v>200</v>
      </c>
      <c r="C6">
        <f>Parametres!C21*Parametres!B25</f>
        <v>300</v>
      </c>
      <c r="D6">
        <f>Parametres!D21*Parametres!B25</f>
        <v>700</v>
      </c>
    </row>
    <row r="7" ht="15.75" customHeight="1">
      <c r="A7" t="str">
        <v>Cout HTM finition</v>
      </c>
      <c r="B7">
        <f>Parametres!B22*Parametres!B26</f>
        <v>350</v>
      </c>
      <c r="C7">
        <f>Parametres!C22*Parametres!B26</f>
        <v>490</v>
      </c>
      <c r="D7">
        <f>Parametres!D22*Parametres!B26</f>
        <v>980</v>
      </c>
    </row>
    <row r="8" ht="15.75" customHeight="1">
      <c r="A8" t="str">
        <v>COUT DIRECT UNITAIRE</v>
      </c>
      <c r="B8">
        <f>SUM(B4:B7)</f>
        <v>1535</v>
      </c>
      <c r="C8">
        <f>SUM(C4:C7)</f>
        <v>2760</v>
      </c>
      <c r="D8">
        <f>SUM(D4:D7)</f>
        <v>6605</v>
      </c>
    </row>
    <row r="10" ht="15.75" customHeight="1">
      <c r="A10" t="str">
        <v>--- Frais fixes production (indicatif) ---</v>
      </c>
    </row>
    <row r="11" ht="15.75" customHeight="1">
      <c r="A11" t="str">
        <v>Total fixes prod / mois</v>
      </c>
      <c r="B11">
        <f>Parametres!B32*(Parametres!B28+Parametres!B29)+Parametres!B33+Parametres!B34+(Parametres!B28+Parametres!B29)*Parametres!B35/Parametres!B36</f>
        <v>39500</v>
      </c>
    </row>
    <row r="12" ht="15.75" customHeight="1">
      <c r="A12" t="str">
        <v>Total unites produites / mois</v>
      </c>
      <c r="B12">
        <f>Production!B5+Production!C5+Production!D5</f>
        <v>80</v>
      </c>
    </row>
    <row r="13" ht="15.75" customHeight="1">
      <c r="A13" t="str">
        <v>Fixe / unite (moyen)</v>
      </c>
      <c r="B13">
        <f>IF(B12&gt;0,B11/B12,0)</f>
        <v>493.75</v>
      </c>
    </row>
    <row r="14" ht="15.75" customHeight="1">
      <c r="A14" t="str">
        <v>COUT COMPLET INDICATIF / unite</v>
      </c>
      <c r="B14">
        <f>B8+$B$13</f>
        <v>2028.75</v>
      </c>
      <c r="C14">
        <f>C8+$B$13</f>
        <v>3253.75</v>
      </c>
      <c r="D14">
        <f>D8+$B$13</f>
        <v>7098.75</v>
      </c>
    </row>
  </sheetData>
  <pageMargins left="0.7" right="0.7" top="0.75" bottom="0.75" header="0.3" footer="0.3"/>
  <ignoredErrors>
    <ignoredError numberStoredAsText="1" sqref="A1:D1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17"/>
  <sheetViews>
    <sheetView workbookViewId="0" rightToLeft="0"/>
  </sheetViews>
  <sheetData>
    <row r="1" ht="15.75" customHeight="1">
      <c r="A1" t="str">
        <v>MARGES &amp; PRIORISATION</v>
      </c>
    </row>
    <row r="3" ht="15.75" customHeight="1">
      <c r="A3" t="str">
        <v>[A REMPLIR] Prix de vente HT (etude Markinform "effet prix")</v>
      </c>
    </row>
    <row r="4" ht="15.75" customHeight="1">
      <c r="B4" t="str">
        <v>Bateau A</v>
      </c>
      <c r="C4" t="str">
        <v>Bateau B</v>
      </c>
      <c r="D4" t="str">
        <v>Bateau C</v>
      </c>
    </row>
    <row r="5" ht="15.75" customHeight="1">
      <c r="A5" t="str">
        <v>Prix de vente HT</v>
      </c>
      <c r="B5">
        <v>0</v>
      </c>
      <c r="C5">
        <v>0</v>
      </c>
      <c r="D5">
        <v>0</v>
      </c>
    </row>
    <row r="6" ht="15.75" customHeight="1">
      <c r="A6" t="str">
        <v>Cout direct unitaire</v>
      </c>
      <c r="B6">
        <f>CoutRevient!B8</f>
        <v>1535</v>
      </c>
      <c r="C6">
        <f>CoutRevient!C8</f>
        <v>2760</v>
      </c>
      <c r="D6">
        <f>CoutRevient!D8</f>
        <v>6605</v>
      </c>
    </row>
    <row r="7" ht="15.75" customHeight="1">
      <c r="A7" t="str">
        <v>Marge unitaire</v>
      </c>
      <c r="B7">
        <f>B5-B6</f>
        <v>-1535</v>
      </c>
      <c r="C7">
        <f>C5-C6</f>
        <v>-2760</v>
      </c>
      <c r="D7">
        <f>D5-D6</f>
        <v>-6605</v>
      </c>
    </row>
    <row r="8" ht="15.75" customHeight="1">
      <c r="A8" t="str">
        <v>Taux de marge</v>
      </c>
      <c r="B8" s="1">
        <f>IF(B5&gt;0,B7/B5,0)</f>
        <v>0</v>
      </c>
      <c r="C8" s="1">
        <f>IF(C5&gt;0,C7/C5,0)</f>
        <v>0</v>
      </c>
      <c r="D8" s="1">
        <f>IF(D5&gt;0,D7/D5,0)</f>
        <v>0</v>
      </c>
    </row>
    <row r="10" ht="15.75" customHeight="1">
      <c r="A10" t="str">
        <v>PRIORISATION PAR LE GOULOT (moulage)</v>
      </c>
    </row>
    <row r="11" ht="15.75" customHeight="1">
      <c r="A11" t="str">
        <v>HTM moulage / bateau</v>
      </c>
      <c r="B11">
        <f>Parametres!B21</f>
        <v>8</v>
      </c>
      <c r="C11">
        <f>Parametres!C21</f>
        <v>12</v>
      </c>
      <c r="D11">
        <f>Parametres!D21</f>
        <v>28</v>
      </c>
    </row>
    <row r="12" ht="15.75" customHeight="1">
      <c r="A12" t="str">
        <v>*** Marge par HTM moulage ***</v>
      </c>
      <c r="B12">
        <f>IF(B11&gt;0,B7/B11,0)</f>
        <v>-191.875</v>
      </c>
      <c r="C12">
        <f>IF(C11&gt;0,C7/C11,0)</f>
        <v>-230</v>
      </c>
      <c r="D12">
        <f>IF(D11&gt;0,D7/D11,0)</f>
        <v>-235.89285714285714</v>
      </c>
    </row>
    <row r="14" ht="15.75" customHeight="1">
      <c r="A14" t="str">
        <v>CONTRIBUTION TOTALE (selon quantites produites)</v>
      </c>
    </row>
    <row r="15" ht="15.75" customHeight="1">
      <c r="A15" t="str">
        <v>Quantite produite</v>
      </c>
      <c r="B15">
        <f>Production!B5</f>
        <v>80</v>
      </c>
      <c r="C15">
        <f>Production!C5</f>
        <v>0</v>
      </c>
      <c r="D15">
        <f>Production!D5</f>
        <v>0</v>
      </c>
    </row>
    <row r="16" ht="15.75" customHeight="1">
      <c r="A16" t="str">
        <v>Marge totale par bateau</v>
      </c>
      <c r="B16">
        <f>B7*B15</f>
        <v>-122800</v>
      </c>
      <c r="C16">
        <f>C7*C15</f>
        <v>0</v>
      </c>
      <c r="D16">
        <f>D7*D15</f>
        <v>0</v>
      </c>
    </row>
    <row r="17" ht="15.75" customHeight="1">
      <c r="A17" t="str">
        <v>MARGE TOTALE GLOBALE</v>
      </c>
      <c r="B17">
        <f>SUM(B16:D16)</f>
        <v>-122800</v>
      </c>
    </row>
  </sheetData>
  <pageMargins left="0.7" right="0.7" top="0.75" bottom="0.75" header="0.3" footer="0.3"/>
  <ignoredErrors>
    <ignoredError numberStoredAsText="1" sqref="A1:D1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26"/>
  <sheetViews>
    <sheetView workbookViewId="0" rightToLeft="0"/>
  </sheetViews>
  <sheetData>
    <row r="1" ht="15.75" customHeight="1">
      <c r="A1" t="str">
        <v>COMPTE DE RESULTAT MENSUEL (simplifie)</v>
      </c>
    </row>
    <row r="3" ht="15.75" customHeight="1">
      <c r="A3" t="str">
        <v>PRODUITS</v>
      </c>
    </row>
    <row r="4" ht="15.75" customHeight="1">
      <c r="A4" t="str">
        <v>Chiffre d'affaires (CA)</v>
      </c>
      <c r="B4">
        <f>Marges!B5*Production!B5+Marges!C5*Production!C5+Marges!D5*Production!D5</f>
        <v>0</v>
      </c>
    </row>
    <row r="6" ht="15.75" customHeight="1">
      <c r="A6" t="str">
        <v>CHARGES</v>
      </c>
    </row>
    <row r="7" ht="15.75" customHeight="1">
      <c r="A7" t="str">
        <v>Achats matieres consommees</v>
      </c>
      <c r="B7">
        <f>(Production!B5*Parametres!B16+Production!C5*Parametres!C16+Production!D5*Parametres!D16)*Parametres!B11+(Production!B5*Parametres!B17+Production!C5*Parametres!C17+Production!D5*Parametres!D17)*Parametres!B12</f>
        <v>78800</v>
      </c>
    </row>
    <row r="8" ht="15.75" customHeight="1">
      <c r="A8" t="str">
        <v>Cout HTM (moulage+finition)</v>
      </c>
      <c r="B8">
        <f>Production!B12*Parametres!B25+Production!B13*Parametres!B26</f>
        <v>44000</v>
      </c>
    </row>
    <row r="9" ht="15.75" customHeight="1">
      <c r="A9" t="str">
        <v>Couts fixes production</v>
      </c>
      <c r="B9">
        <f>CoutRevient!B11</f>
        <v>39500</v>
      </c>
    </row>
    <row r="10" ht="15.75" customHeight="1">
      <c r="A10" t="str">
        <v>Salaires representants</v>
      </c>
      <c r="B10">
        <f>Parametres!B39*Parametres!B40/100*Parametres!B41</f>
        <v>11900</v>
      </c>
    </row>
    <row r="11" ht="15.75" customHeight="1">
      <c r="A11" t="str">
        <v>Commissions sur ventes</v>
      </c>
      <c r="B11">
        <f>Parametres!B42*B4</f>
        <v>0</v>
      </c>
    </row>
    <row r="12" ht="15.75" customHeight="1">
      <c r="A12" t="str">
        <v>Salaires administratifs</v>
      </c>
      <c r="B12">
        <f>(Parametres!B46*Parametres!C46+Parametres!B47*Parametres!C47+Parametres!B48*Parametres!C48)/100*Parametres!B41</f>
        <v>25160</v>
      </c>
    </row>
    <row r="13" ht="15.75" customHeight="1">
      <c r="A13" t="str">
        <v xml:space="preserve">  (sous-total masse salariale)</v>
      </c>
    </row>
    <row r="14" ht="15.75" customHeight="1">
      <c r="A14" t="str">
        <v>Charges sociales (40%)</v>
      </c>
      <c r="B14">
        <f>Parametres!B58*(B10+B12)</f>
        <v>14824</v>
      </c>
    </row>
    <row r="15" ht="15.75" customHeight="1">
      <c r="A15" t="str">
        <v>Impots/taxes salaires (5%)</v>
      </c>
      <c r="B15">
        <f>Parametres!B59*(B10+B12)</f>
        <v>1853</v>
      </c>
    </row>
    <row r="16" ht="15.75" customHeight="1">
      <c r="A16" t="str">
        <v>[A REMPLIR] Publicite (marque + specifique)</v>
      </c>
      <c r="B16">
        <f>Decisions!B20+SUM(Decisions!B23:D23)</f>
        <v>12000</v>
      </c>
    </row>
    <row r="17" ht="15.75" customHeight="1">
      <c r="A17" t="str">
        <v>[A REMPLIR] Etudes Markinform</v>
      </c>
      <c r="B17">
        <v>0</v>
      </c>
    </row>
    <row r="18" ht="15.75" customHeight="1">
      <c r="A18" t="str">
        <v>Charges subies</v>
      </c>
      <c r="B18">
        <f>Parametres!B52+Parametres!B53+Parametres!B54+Parametres!B55+(Parametres!C52+Parametres!C53+Parametres!C54+Parametres!C55)*B4</f>
        <v>30500</v>
      </c>
    </row>
    <row r="19" ht="15.75" customHeight="1">
      <c r="A19" t="str">
        <v>Creances impayees</v>
      </c>
      <c r="B19">
        <f>Parametres!B60*B4</f>
        <v>0</v>
      </c>
    </row>
    <row r="20" ht="15.75" customHeight="1">
      <c r="A20" t="str">
        <v>TOTAL CHARGES</v>
      </c>
      <c r="B20">
        <f>SUM(B7:B19)</f>
        <v>258537</v>
      </c>
    </row>
    <row r="22" ht="15.75" customHeight="1">
      <c r="A22" t="str">
        <v>RESULTAT AVANT IS</v>
      </c>
      <c r="B22">
        <f>B4-B20</f>
        <v>-258537</v>
      </c>
    </row>
    <row r="23" ht="15.75" customHeight="1">
      <c r="A23" t="str">
        <v>IS (25% si benefice)</v>
      </c>
      <c r="B23">
        <f>IF(B22&gt;0,Parametres!B61*B22,0)</f>
        <v>0</v>
      </c>
    </row>
    <row r="24" ht="15.75" customHeight="1">
      <c r="A24" t="str">
        <v>RESULTAT NET MENSUEL</v>
      </c>
      <c r="B24">
        <f>B22-B23</f>
        <v>-258537</v>
      </c>
    </row>
    <row r="26" ht="15.75" customHeight="1">
      <c r="A26" t="str">
        <v>Resultat net trimestriel (x3, indicatif)</v>
      </c>
      <c r="B26">
        <f>B24*3</f>
        <v>-775611</v>
      </c>
    </row>
  </sheetData>
  <pageMargins left="0.7" right="0.7" top="0.75" bottom="0.75" header="0.3" footer="0.3"/>
  <ignoredErrors>
    <ignoredError numberStoredAsText="1" sqref="A1:B2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31"/>
  <sheetViews>
    <sheetView workbookViewId="0" rightToLeft="0"/>
  </sheetViews>
  <sheetData>
    <row r="1" ht="15.75" customHeight="1">
      <c r="A1" t="str">
        <v>FEUILLE DE DECISIONS — RECAP (a reporter au stylo rouge)</v>
      </c>
    </row>
    <row r="3" ht="15.75" customHeight="1">
      <c r="A3" t="str">
        <v>APPROVISIONNEMENT</v>
      </c>
    </row>
    <row r="4" ht="15.75" customHeight="1">
      <c r="A4" t="str">
        <v>Fournisseur plastique retenu</v>
      </c>
      <c r="B4" t="str">
        <v>P2</v>
      </c>
    </row>
    <row r="5" ht="15.75" customHeight="1">
      <c r="A5" t="str">
        <v>Quantite plastique commandee /mois (t)</v>
      </c>
      <c r="B5">
        <f>Production!B5*Parametres!B16+Production!C5*Parametres!C16+Production!D5*Parametres!D16</f>
        <v>16</v>
      </c>
    </row>
    <row r="6" ht="15.75" customHeight="1">
      <c r="A6" t="str">
        <v>Fournisseur bois retenu</v>
      </c>
      <c r="B6" t="str">
        <v>B2</v>
      </c>
    </row>
    <row r="7" ht="15.75" customHeight="1">
      <c r="A7" t="str">
        <v>Quantite bois commandee /mois (m3)</v>
      </c>
      <c r="B7">
        <f>Production!B5*Parametres!B17+Production!C5*Parametres!C17+Production!D5*Parametres!D17</f>
        <v>8</v>
      </c>
    </row>
    <row r="9" ht="15.75" customHeight="1">
      <c r="A9" t="str">
        <v>PRODUCTION</v>
      </c>
    </row>
    <row r="10" ht="15.75" customHeight="1">
      <c r="A10" t="str">
        <v>Bateau A a produire</v>
      </c>
      <c r="B10">
        <f>Production!B5</f>
        <v>80</v>
      </c>
    </row>
    <row r="11" ht="15.75" customHeight="1">
      <c r="A11" t="str">
        <v>Bateau B a produire</v>
      </c>
      <c r="B11">
        <f>Production!C5</f>
        <v>0</v>
      </c>
    </row>
    <row r="12" ht="15.75" customHeight="1">
      <c r="A12" t="str">
        <v>Bateau C a produire</v>
      </c>
      <c r="B12">
        <f>Production!D5</f>
        <v>0</v>
      </c>
    </row>
    <row r="13" ht="15.75" customHeight="1">
      <c r="A13" t="str">
        <v>Achat(+)/cession(-) robots moulage</v>
      </c>
      <c r="B13">
        <v>0</v>
      </c>
    </row>
    <row r="14" ht="15.75" customHeight="1">
      <c r="A14" t="str">
        <v>Achat(+)/cession(-) robots finition</v>
      </c>
      <c r="B14">
        <v>0</v>
      </c>
    </row>
    <row r="16" ht="15.75" customHeight="1">
      <c r="A16" t="str">
        <v>MARKETING</v>
      </c>
    </row>
    <row r="17" ht="15.75" customHeight="1">
      <c r="A17" t="str">
        <v>Prix vente A</v>
      </c>
      <c r="B17">
        <f>Marges!B5</f>
        <v>0</v>
      </c>
    </row>
    <row r="18" ht="15.75" customHeight="1">
      <c r="A18" t="str">
        <v>Prix vente B</v>
      </c>
      <c r="B18">
        <f>Marges!C5</f>
        <v>0</v>
      </c>
    </row>
    <row r="19" ht="15.75" customHeight="1">
      <c r="A19" t="str">
        <v>Prix vente C</v>
      </c>
      <c r="B19">
        <f>Marges!D5</f>
        <v>0</v>
      </c>
    </row>
    <row r="20" ht="15.75" customHeight="1">
      <c r="A20" t="str">
        <v>Budget pub de marque /mois</v>
      </c>
      <c r="B20">
        <v>12000</v>
      </c>
    </row>
    <row r="21" ht="15.75" customHeight="1">
      <c r="A21" t="str">
        <v>Axe com principal</v>
      </c>
      <c r="B21" t="str">
        <v>(prix / confort / resistance / esthetique)</v>
      </c>
    </row>
    <row r="22" ht="15.75" customHeight="1">
      <c r="A22" t="str">
        <v>Axe com secondaire</v>
      </c>
      <c r="B22" t="str">
        <v>(prix / confort / resistance / esthetique)</v>
      </c>
    </row>
    <row r="23" ht="15.75" customHeight="1">
      <c r="A23" t="str">
        <v>Pub specifique A / B / C</v>
      </c>
      <c r="B23">
        <v>0</v>
      </c>
      <c r="C23">
        <v>0</v>
      </c>
      <c r="D23">
        <v>0</v>
      </c>
    </row>
    <row r="24" ht="15.75" customHeight="1">
      <c r="A24" t="str">
        <v>Delai paiement client</v>
      </c>
      <c r="B24" t="str">
        <v>(comptant / 30j / 60j / 90j)</v>
      </c>
    </row>
    <row r="25" ht="15.75" customHeight="1">
      <c r="A25" t="str">
        <v>Force de vente: embauche(+)/licenciement(-)</v>
      </c>
      <c r="B25">
        <v>0</v>
      </c>
    </row>
    <row r="27" ht="15.75" customHeight="1">
      <c r="A27" t="str">
        <v>ETUDES MARKINFORM COMMANDEES</v>
      </c>
    </row>
    <row r="28" ht="15.75" customHeight="1">
      <c r="A28" t="str">
        <v>(lister les n. : prevision ventes / effet prix / effet pub...)</v>
      </c>
    </row>
    <row r="30" ht="15.75" customHeight="1">
      <c r="A30" t="str">
        <v>FINANCE</v>
      </c>
    </row>
    <row r="31" ht="15.75" customHeight="1">
      <c r="A31" t="str">
        <v>Emprunt / placement / decouvert</v>
      </c>
      <c r="B31" t="str">
        <v>(a preciser)</v>
      </c>
    </row>
  </sheetData>
  <pageMargins left="0.7" right="0.7" top="0.75" bottom="0.75" header="0.3" footer="0.3"/>
  <ignoredErrors>
    <ignoredError numberStoredAsText="1" sqref="A1:D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Parametres</vt:lpstr>
      <vt:lpstr>Production</vt:lpstr>
      <vt:lpstr>CoutRevient</vt:lpstr>
      <vt:lpstr>Marges</vt:lpstr>
      <vt:lpstr>Resultat</vt:lpstr>
      <vt:lpstr>Decisions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2026-06-08T22:05:35Z</dcterms:modified>
  <cp:lastModifiedBy>Romeo P</cp:lastModifiedBy>
</cp:coreProperties>
</file>