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ranv\Desktop\jarvis-starter-kit\livrables\etudes\projets\SAE\"/>
    </mc:Choice>
  </mc:AlternateContent>
  <xr:revisionPtr revIDLastSave="0" documentId="13_ncr:1_{367355C2-D3F7-4B0F-BF2B-7AC4DB1BDE9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ADME" sheetId="1" r:id="rId1"/>
    <sheet name="Parametres" sheetId="2" r:id="rId2"/>
    <sheet name="Production" sheetId="3" r:id="rId3"/>
    <sheet name="CoutRevient" sheetId="4" r:id="rId4"/>
    <sheet name="Marges" sheetId="5" r:id="rId5"/>
    <sheet name="Resultat" sheetId="6" r:id="rId6"/>
    <sheet name="Decision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7" l="1"/>
  <c r="B18" i="7"/>
  <c r="B17" i="7"/>
  <c r="B12" i="7"/>
  <c r="B11" i="7"/>
  <c r="B10" i="7"/>
  <c r="B12" i="6"/>
  <c r="B14" i="6" s="1"/>
  <c r="B10" i="6"/>
  <c r="B15" i="6" s="1"/>
  <c r="B9" i="6"/>
  <c r="B8" i="6"/>
  <c r="B7" i="6"/>
  <c r="B4" i="6"/>
  <c r="B11" i="6" s="1"/>
  <c r="D15" i="5"/>
  <c r="C15" i="5"/>
  <c r="B15" i="5"/>
  <c r="D11" i="5"/>
  <c r="C11" i="5"/>
  <c r="B11" i="5"/>
  <c r="D8" i="5"/>
  <c r="C8" i="5"/>
  <c r="B8" i="5"/>
  <c r="B13" i="4"/>
  <c r="B12" i="4"/>
  <c r="B11" i="4"/>
  <c r="C8" i="4"/>
  <c r="C6" i="5" s="1"/>
  <c r="C7" i="5" s="1"/>
  <c r="D7" i="4"/>
  <c r="C7" i="4"/>
  <c r="B7" i="4"/>
  <c r="D6" i="4"/>
  <c r="C6" i="4"/>
  <c r="B6" i="4"/>
  <c r="D5" i="4"/>
  <c r="D8" i="4" s="1"/>
  <c r="C5" i="4"/>
  <c r="B5" i="4"/>
  <c r="B8" i="4" s="1"/>
  <c r="D4" i="4"/>
  <c r="C4" i="4"/>
  <c r="B4" i="4"/>
  <c r="B26" i="3"/>
  <c r="B25" i="3"/>
  <c r="B24" i="3"/>
  <c r="B13" i="3"/>
  <c r="B12" i="3"/>
  <c r="B20" i="3" s="1"/>
  <c r="B9" i="3"/>
  <c r="B21" i="3" s="1"/>
  <c r="B8" i="3"/>
  <c r="B16" i="3" s="1"/>
  <c r="B6" i="5" l="1"/>
  <c r="B7" i="5" s="1"/>
  <c r="B16" i="5" s="1"/>
  <c r="B14" i="4"/>
  <c r="B12" i="5"/>
  <c r="C16" i="5"/>
  <c r="C12" i="5"/>
  <c r="D6" i="5"/>
  <c r="D7" i="5" s="1"/>
  <c r="D14" i="4"/>
  <c r="B17" i="3"/>
  <c r="C14" i="4"/>
  <c r="B18" i="6"/>
  <c r="B20" i="6" s="1"/>
  <c r="B22" i="6" s="1"/>
  <c r="B19" i="6"/>
  <c r="B23" i="6" l="1"/>
  <c r="B24" i="6"/>
  <c r="B26" i="6" s="1"/>
  <c r="D12" i="5"/>
  <c r="D16" i="5"/>
  <c r="B17" i="5" s="1"/>
</calcChain>
</file>

<file path=xl/sharedStrings.xml><?xml version="1.0" encoding="utf-8"?>
<sst xmlns="http://schemas.openxmlformats.org/spreadsheetml/2006/main" count="188" uniqueCount="173">
  <si>
    <t>SIMULATEUR KALYPSO — MODE D'EMPLOI</t>
  </si>
  <si>
    <t>Construit par Jarvis pour la SAE BUT GEA. Le jour J : on remplit les cases marquees [A REMPLIR] et tout se recalcule.</t>
  </si>
  <si>
    <t>ONGLETS :</t>
  </si>
  <si>
    <t>1. Parametres</t>
  </si>
  <si>
    <t>Toutes les donnees du jeu. Choisis le fournisseur via "Prix retenu".</t>
  </si>
  <si>
    <t>2. Production</t>
  </si>
  <si>
    <t>Entre les quantites a produire -&gt; verifie le goulot MOULAGE (alerte si depassement).</t>
  </si>
  <si>
    <t>3. CoutRevient</t>
  </si>
  <si>
    <t>Cout unitaire calcule de chaque bateau (matieres + heures machine).</t>
  </si>
  <si>
    <t>4. Marges</t>
  </si>
  <si>
    <t>Entre les PRIX DE VENTE (etude Markinform) -&gt; regarde "Marge par HTM moulage".</t>
  </si>
  <si>
    <t>5. Resultat</t>
  </si>
  <si>
    <t>Compte de resultat mensuel. Remplis Publicite et Etudes.</t>
  </si>
  <si>
    <t>6. Decisions</t>
  </si>
  <si>
    <t>Recap a recopier sur la feuille rouge.</t>
  </si>
  <si>
    <t>REGLE D'OR :</t>
  </si>
  <si>
    <t>- Le MOULAGE est le goulot. Toute la prod se cale dessus.</t>
  </si>
  <si>
    <t>- "Marge par HTM moulage" (onglet Marges) = quel bateau privilegier.</t>
  </si>
  <si>
    <t>- Ne jamais tomber en decouvert (13%/an d'agios).</t>
  </si>
  <si>
    <t>Modele simplifie (pas de decalage de tresorerie). On l'affine le jour J avec la grille de notation.</t>
  </si>
  <si>
    <t>PARAMETRES DU JEU KALYPSO</t>
  </si>
  <si>
    <t>--- MATIERES PREMIERES (prix unitaires) ---</t>
  </si>
  <si>
    <t>Prix plastique P1 (comptant) EUR/t</t>
  </si>
  <si>
    <t>Prix plastique P2 (1 mois) EUR/t</t>
  </si>
  <si>
    <t>Prix plastique P3 (2 mois) EUR/t</t>
  </si>
  <si>
    <t>Prix bois B1 (comptant) EUR/m3</t>
  </si>
  <si>
    <t>Prix bois B2 (1 mois) EUR/m3</t>
  </si>
  <si>
    <t>Prix bois B3 (2 mois) EUR/m3</t>
  </si>
  <si>
    <t>Prix plastique RETENU (modifiable) EUR/t</t>
  </si>
  <si>
    <t>&lt;-- change selon fournisseur</t>
  </si>
  <si>
    <t>Prix bois RETENU (modifiable) EUR/m3</t>
  </si>
  <si>
    <t>--- CONSOMMATION MATIERES / BATEAU ---</t>
  </si>
  <si>
    <t>Bateau A</t>
  </si>
  <si>
    <t>Bateau B</t>
  </si>
  <si>
    <t>Bateau C</t>
  </si>
  <si>
    <t>Plastique (t)</t>
  </si>
  <si>
    <t>Bois (m3)</t>
  </si>
  <si>
    <t>--- HEURES MACHINE (HTM) / BATEAU ---</t>
  </si>
  <si>
    <t>Moulage (HTM)</t>
  </si>
  <si>
    <t>Finition (HTM)</t>
  </si>
  <si>
    <t>--- COUTS HORAIRES &amp; CAPACITE ---</t>
  </si>
  <si>
    <t>Cout HTM moulage EUR/HTM</t>
  </si>
  <si>
    <t>Cout HTM finition EUR/HTM</t>
  </si>
  <si>
    <t>Capacite par robot (HTM/mois)</t>
  </si>
  <si>
    <t>Nb robots moulage</t>
  </si>
  <si>
    <t>Nb robots finition</t>
  </si>
  <si>
    <t>--- COUTS FIXES PRODUCTION ---</t>
  </si>
  <si>
    <t>Entretien / robot / mois</t>
  </si>
  <si>
    <t>Entretien atelier moulage / mois</t>
  </si>
  <si>
    <t>Entretien atelier finition / mois</t>
  </si>
  <si>
    <t>Valeur d'un robot</t>
  </si>
  <si>
    <t>Duree amortissement robot (mois)</t>
  </si>
  <si>
    <t>--- FORCE DE VENTE ---</t>
  </si>
  <si>
    <t>Nb representants</t>
  </si>
  <si>
    <t>Indice representants</t>
  </si>
  <si>
    <t>Valeur indice 100 (EUR brut/mois)</t>
  </si>
  <si>
    <t>Taux commission (% du CA)</t>
  </si>
  <si>
    <t>--- PERSONNEL ADMINISTRATIF ---</t>
  </si>
  <si>
    <t>Categorie</t>
  </si>
  <si>
    <t>Effectif</t>
  </si>
  <si>
    <t>Indice</t>
  </si>
  <si>
    <t>Direction</t>
  </si>
  <si>
    <t>Cadre</t>
  </si>
  <si>
    <t>Employe</t>
  </si>
  <si>
    <t>--- CHARGES SUBIES (fixe/mois + % du CA) ---</t>
  </si>
  <si>
    <t>Fixe EUR/mois</t>
  </si>
  <si>
    <t>% du CA</t>
  </si>
  <si>
    <t>Consommables</t>
  </si>
  <si>
    <t>Fournitures</t>
  </si>
  <si>
    <t>Deplacements/missions</t>
  </si>
  <si>
    <t>Postaux/telecom</t>
  </si>
  <si>
    <t>--- SOCIAL &amp; FISCAL ---</t>
  </si>
  <si>
    <t>Charges sociales (% remu)</t>
  </si>
  <si>
    <t>Impots/taxes sur salaires (% remu)</t>
  </si>
  <si>
    <t>Creances impayees (% CA encaisse)</t>
  </si>
  <si>
    <t>Taux IS</t>
  </si>
  <si>
    <t>Taux TVA</t>
  </si>
  <si>
    <t>PRODUCTION — CAPACITE &amp; GOULOT</t>
  </si>
  <si>
    <t>[A REMPLIR] Quantites a produire par mois</t>
  </si>
  <si>
    <t>Quantite a produire</t>
  </si>
  <si>
    <t>CAPACITE DES ATELIERS (HTM/mois)</t>
  </si>
  <si>
    <t>Capacite moulage</t>
  </si>
  <si>
    <t>Capacite finition</t>
  </si>
  <si>
    <t>CONSOMMATION HTM PAR LA PRODUCTION</t>
  </si>
  <si>
    <t>HTM moulage consommees</t>
  </si>
  <si>
    <t>HTM finition consommees</t>
  </si>
  <si>
    <t>TAUX D'UTILISATION</t>
  </si>
  <si>
    <t>Moulage (goulot)</t>
  </si>
  <si>
    <t>Finition</t>
  </si>
  <si>
    <t>ALERTE CAPACITE</t>
  </si>
  <si>
    <t>Moulage</t>
  </si>
  <si>
    <t>MAX THEORIQUE SI UN SEUL MODELE (capacite actuelle)</t>
  </si>
  <si>
    <t>Si 100% A</t>
  </si>
  <si>
    <t>Si 100% B</t>
  </si>
  <si>
    <t>Si 100% C</t>
  </si>
  <si>
    <t>COUT DE REVIENT UNITAIRE</t>
  </si>
  <si>
    <t>Poste</t>
  </si>
  <si>
    <t>Cout plastique</t>
  </si>
  <si>
    <t>Cout bois</t>
  </si>
  <si>
    <t>Cout HTM moulage</t>
  </si>
  <si>
    <t>Cout HTM finition</t>
  </si>
  <si>
    <t>COUT DIRECT UNITAIRE</t>
  </si>
  <si>
    <t>--- Frais fixes production (indicatif) ---</t>
  </si>
  <si>
    <t>Total fixes prod / mois</t>
  </si>
  <si>
    <t>Total unites produites / mois</t>
  </si>
  <si>
    <t>Fixe / unite (moyen)</t>
  </si>
  <si>
    <t>COUT COMPLET INDICATIF / unite</t>
  </si>
  <si>
    <t>MARGES &amp; PRIORISATION</t>
  </si>
  <si>
    <t>[A REMPLIR] Prix de vente HT (etude Markinform "effet prix")</t>
  </si>
  <si>
    <t>Prix de vente HT</t>
  </si>
  <si>
    <t>Cout direct unitaire</t>
  </si>
  <si>
    <t>Marge unitaire</t>
  </si>
  <si>
    <t>Taux de marge</t>
  </si>
  <si>
    <t>PRIORISATION PAR LE GOULOT (moulage)</t>
  </si>
  <si>
    <t>HTM moulage / bateau</t>
  </si>
  <si>
    <t>*** Marge par HTM moulage ***</t>
  </si>
  <si>
    <t>CONTRIBUTION TOTALE (selon quantites produites)</t>
  </si>
  <si>
    <t>Quantite produite</t>
  </si>
  <si>
    <t>Marge totale par bateau</t>
  </si>
  <si>
    <t>MARGE TOTALE GLOBALE</t>
  </si>
  <si>
    <t>COMPTE DE RESULTAT MENSUEL (simplifie)</t>
  </si>
  <si>
    <t>PRODUITS</t>
  </si>
  <si>
    <t>Chiffre d'affaires (CA)</t>
  </si>
  <si>
    <t>CHARGES</t>
  </si>
  <si>
    <t>Achats matieres consommees</t>
  </si>
  <si>
    <t>Cout HTM (moulage+finition)</t>
  </si>
  <si>
    <t>Couts fixes production</t>
  </si>
  <si>
    <t>Salaires representants</t>
  </si>
  <si>
    <t>Commissions sur ventes</t>
  </si>
  <si>
    <t>Salaires administratifs</t>
  </si>
  <si>
    <t xml:space="preserve">  (sous-total masse salariale)</t>
  </si>
  <si>
    <t>Charges sociales (40%)</t>
  </si>
  <si>
    <t>Impots/taxes salaires (5%)</t>
  </si>
  <si>
    <t>[A REMPLIR] Publicite (marque + specifique)</t>
  </si>
  <si>
    <t>[A REMPLIR] Etudes Markinform</t>
  </si>
  <si>
    <t>Charges subies</t>
  </si>
  <si>
    <t>Creances impayees</t>
  </si>
  <si>
    <t>TOTAL CHARGES</t>
  </si>
  <si>
    <t>RESULTAT AVANT IS</t>
  </si>
  <si>
    <t>IS (25% si benefice)</t>
  </si>
  <si>
    <t>RESULTAT NET MENSUEL</t>
  </si>
  <si>
    <t>Resultat net trimestriel (x3, indicatif)</t>
  </si>
  <si>
    <t>FEUILLE DE DECISIONS — RECAP (a reporter au stylo rouge)</t>
  </si>
  <si>
    <t>APPROVISIONNEMENT</t>
  </si>
  <si>
    <t>Fournisseur plastique retenu</t>
  </si>
  <si>
    <t>P2</t>
  </si>
  <si>
    <t>Quantite plastique commandee /mois (t)</t>
  </si>
  <si>
    <t>Fournisseur bois retenu</t>
  </si>
  <si>
    <t>B2</t>
  </si>
  <si>
    <t>Quantite bois commandee /mois (m3)</t>
  </si>
  <si>
    <t>PRODUCTION</t>
  </si>
  <si>
    <t>Bateau A a produire</t>
  </si>
  <si>
    <t>Bateau B a produire</t>
  </si>
  <si>
    <t>Bateau C a produire</t>
  </si>
  <si>
    <t>Achat(+)/cession(-) robots moulage</t>
  </si>
  <si>
    <t>Achat(+)/cession(-) robots finition</t>
  </si>
  <si>
    <t>MARKETING</t>
  </si>
  <si>
    <t>Prix vente A</t>
  </si>
  <si>
    <t>Prix vente B</t>
  </si>
  <si>
    <t>Prix vente C</t>
  </si>
  <si>
    <t>Budget pub de marque /mois</t>
  </si>
  <si>
    <t>Axe com principal</t>
  </si>
  <si>
    <t>(prix / confort / resistance / esthetique)</t>
  </si>
  <si>
    <t>Axe com secondaire</t>
  </si>
  <si>
    <t>Pub specifique A / B / C</t>
  </si>
  <si>
    <t>Delai paiement client</t>
  </si>
  <si>
    <t>(comptant / 30j / 60j / 90j)</t>
  </si>
  <si>
    <t>Force de vente: embauche(+)/licenciement(-)</t>
  </si>
  <si>
    <t>ETUDES MARKINFORM COMMANDEES</t>
  </si>
  <si>
    <t>(lister les n. : prevision ventes / effet prix / effet pub...)</t>
  </si>
  <si>
    <t>FINANCE</t>
  </si>
  <si>
    <t>Emprunt / placement / decouvert</t>
  </si>
  <si>
    <t>(a preciser)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</si>
</sst>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\.0%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/>
  </sheetViews>
  <sheetFormatPr baseColWidth="10" defaultRowHeight="15" x14ac:dyDescent="0.25"/>
  <sheetData>
    <row r="1" spans="1:2" ht="15.75" x14ac:dyDescent="0.25">
      <c r="A1" t="s">
        <v>0</v>
      </c>
    </row>
    <row r="3" spans="1:2" ht="15.75" x14ac:dyDescent="0.25">
      <c r="A3" t="s">
        <v>1</v>
      </c>
    </row>
    <row r="5" spans="1:2" ht="15.75" x14ac:dyDescent="0.25">
      <c r="A5" t="s">
        <v>2</v>
      </c>
    </row>
    <row r="6" spans="1:2" ht="15.75" x14ac:dyDescent="0.25">
      <c r="A6" t="s">
        <v>3</v>
      </c>
      <c r="B6" t="s">
        <v>4</v>
      </c>
    </row>
    <row r="7" spans="1:2" ht="15.75" x14ac:dyDescent="0.25">
      <c r="A7" t="s">
        <v>5</v>
      </c>
      <c r="B7" t="s">
        <v>6</v>
      </c>
    </row>
    <row r="8" spans="1:2" ht="15.75" x14ac:dyDescent="0.25">
      <c r="A8" t="s">
        <v>7</v>
      </c>
      <c r="B8" t="s">
        <v>8</v>
      </c>
    </row>
    <row r="9" spans="1:2" ht="15.75" x14ac:dyDescent="0.25">
      <c r="A9" t="s">
        <v>9</v>
      </c>
      <c r="B9" t="s">
        <v>10</v>
      </c>
    </row>
    <row r="10" spans="1:2" ht="15.75" x14ac:dyDescent="0.25">
      <c r="A10" t="s">
        <v>11</v>
      </c>
      <c r="B10" t="s">
        <v>12</v>
      </c>
    </row>
    <row r="11" spans="1:2" ht="15.75" x14ac:dyDescent="0.25">
      <c r="A11" t="s">
        <v>13</v>
      </c>
      <c r="B11" t="s">
        <v>14</v>
      </c>
    </row>
    <row r="13" spans="1:2" ht="15.75" x14ac:dyDescent="0.25">
      <c r="A13" t="s">
        <v>15</v>
      </c>
    </row>
    <row r="14" spans="1:2" ht="15.75" x14ac:dyDescent="0.25">
      <c r="A14" t="s">
        <v>16</v>
      </c>
    </row>
    <row r="15" spans="1:2" ht="15.75" x14ac:dyDescent="0.25">
      <c r="A15" t="s">
        <v>17</v>
      </c>
    </row>
    <row r="16" spans="1:2" ht="15.75" x14ac:dyDescent="0.25">
      <c r="A16" t="s">
        <v>18</v>
      </c>
    </row>
    <row r="18" spans="1:1" ht="15.75" x14ac:dyDescent="0.25">
      <c r="A18" t="s">
        <v>19</v>
      </c>
    </row>
  </sheetData>
  <pageMargins left="0.7" right="0.7" top="0.75" bottom="0.75" header="0.3" footer="0.3"/>
  <ignoredErrors>
    <ignoredError sqref="A1:B1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2"/>
  <sheetViews>
    <sheetView workbookViewId="0"/>
  </sheetViews>
  <sheetFormatPr baseColWidth="10" defaultRowHeight="15" x14ac:dyDescent="0.25"/>
  <sheetData>
    <row r="1" spans="1:4" ht="15.75" x14ac:dyDescent="0.25">
      <c r="A1" t="s">
        <v>20</v>
      </c>
    </row>
    <row r="3" spans="1:4" ht="15.75" x14ac:dyDescent="0.25">
      <c r="A3" t="s">
        <v>21</v>
      </c>
    </row>
    <row r="4" spans="1:4" ht="15.75" x14ac:dyDescent="0.25">
      <c r="A4" t="s">
        <v>22</v>
      </c>
      <c r="B4">
        <v>4100</v>
      </c>
    </row>
    <row r="5" spans="1:4" ht="15.75" x14ac:dyDescent="0.25">
      <c r="A5" t="s">
        <v>23</v>
      </c>
      <c r="B5">
        <v>4200</v>
      </c>
    </row>
    <row r="6" spans="1:4" ht="15.75" x14ac:dyDescent="0.25">
      <c r="A6" t="s">
        <v>24</v>
      </c>
      <c r="B6">
        <v>4300</v>
      </c>
    </row>
    <row r="7" spans="1:4" ht="15.75" x14ac:dyDescent="0.25">
      <c r="A7" t="s">
        <v>25</v>
      </c>
      <c r="B7">
        <v>1300</v>
      </c>
    </row>
    <row r="8" spans="1:4" ht="15.75" x14ac:dyDescent="0.25">
      <c r="A8" t="s">
        <v>26</v>
      </c>
      <c r="B8">
        <v>1450</v>
      </c>
    </row>
    <row r="9" spans="1:4" ht="15.75" x14ac:dyDescent="0.25">
      <c r="A9" t="s">
        <v>27</v>
      </c>
      <c r="B9">
        <v>1600</v>
      </c>
    </row>
    <row r="11" spans="1:4" ht="15.75" x14ac:dyDescent="0.25">
      <c r="A11" t="s">
        <v>28</v>
      </c>
      <c r="B11">
        <v>4200</v>
      </c>
      <c r="C11" t="s">
        <v>29</v>
      </c>
    </row>
    <row r="12" spans="1:4" ht="15.75" x14ac:dyDescent="0.25">
      <c r="A12" t="s">
        <v>30</v>
      </c>
      <c r="B12">
        <v>1450</v>
      </c>
      <c r="C12" t="s">
        <v>29</v>
      </c>
    </row>
    <row r="14" spans="1:4" ht="15.75" x14ac:dyDescent="0.25">
      <c r="A14" t="s">
        <v>31</v>
      </c>
    </row>
    <row r="15" spans="1:4" ht="15.75" x14ac:dyDescent="0.25">
      <c r="B15" t="s">
        <v>32</v>
      </c>
      <c r="C15" t="s">
        <v>33</v>
      </c>
      <c r="D15" t="s">
        <v>34</v>
      </c>
    </row>
    <row r="16" spans="1:4" ht="15.75" x14ac:dyDescent="0.25">
      <c r="A16" t="s">
        <v>35</v>
      </c>
      <c r="B16">
        <v>0.2</v>
      </c>
      <c r="C16">
        <v>0.4</v>
      </c>
      <c r="D16">
        <v>1</v>
      </c>
    </row>
    <row r="17" spans="1:4" ht="15.75" x14ac:dyDescent="0.25">
      <c r="A17" t="s">
        <v>36</v>
      </c>
      <c r="B17">
        <v>0.1</v>
      </c>
      <c r="C17">
        <v>0.2</v>
      </c>
      <c r="D17">
        <v>0.5</v>
      </c>
    </row>
    <row r="19" spans="1:4" ht="15.75" x14ac:dyDescent="0.25">
      <c r="A19" t="s">
        <v>37</v>
      </c>
    </row>
    <row r="20" spans="1:4" ht="15.75" x14ac:dyDescent="0.25">
      <c r="B20" t="s">
        <v>32</v>
      </c>
      <c r="C20" t="s">
        <v>33</v>
      </c>
      <c r="D20" t="s">
        <v>34</v>
      </c>
    </row>
    <row r="21" spans="1:4" ht="15.75" x14ac:dyDescent="0.25">
      <c r="A21" t="s">
        <v>38</v>
      </c>
      <c r="B21">
        <v>8</v>
      </c>
      <c r="C21">
        <v>12</v>
      </c>
      <c r="D21">
        <v>28</v>
      </c>
    </row>
    <row r="22" spans="1:4" ht="15.75" x14ac:dyDescent="0.25">
      <c r="A22" t="s">
        <v>39</v>
      </c>
      <c r="B22">
        <v>10</v>
      </c>
      <c r="C22">
        <v>14</v>
      </c>
      <c r="D22">
        <v>28</v>
      </c>
    </row>
    <row r="24" spans="1:4" ht="15.75" x14ac:dyDescent="0.25">
      <c r="A24" t="s">
        <v>40</v>
      </c>
    </row>
    <row r="25" spans="1:4" ht="15.75" x14ac:dyDescent="0.25">
      <c r="A25" t="s">
        <v>41</v>
      </c>
      <c r="B25">
        <v>25</v>
      </c>
    </row>
    <row r="26" spans="1:4" ht="15.75" x14ac:dyDescent="0.25">
      <c r="A26" t="s">
        <v>42</v>
      </c>
      <c r="B26">
        <v>35</v>
      </c>
    </row>
    <row r="27" spans="1:4" ht="15.75" x14ac:dyDescent="0.25">
      <c r="A27" t="s">
        <v>43</v>
      </c>
      <c r="B27">
        <v>200</v>
      </c>
    </row>
    <row r="28" spans="1:4" ht="15.75" x14ac:dyDescent="0.25">
      <c r="A28" t="s">
        <v>44</v>
      </c>
      <c r="B28">
        <v>4</v>
      </c>
    </row>
    <row r="29" spans="1:4" ht="15.75" x14ac:dyDescent="0.25">
      <c r="A29" t="s">
        <v>45</v>
      </c>
      <c r="B29">
        <v>6</v>
      </c>
    </row>
    <row r="31" spans="1:4" ht="15.75" x14ac:dyDescent="0.25">
      <c r="A31" t="s">
        <v>46</v>
      </c>
    </row>
    <row r="32" spans="1:4" ht="15.75" x14ac:dyDescent="0.25">
      <c r="A32" t="s">
        <v>47</v>
      </c>
      <c r="B32">
        <v>2000</v>
      </c>
    </row>
    <row r="33" spans="1:3" ht="15.75" x14ac:dyDescent="0.25">
      <c r="A33" t="s">
        <v>48</v>
      </c>
      <c r="B33">
        <v>4000</v>
      </c>
    </row>
    <row r="34" spans="1:3" ht="15.75" x14ac:dyDescent="0.25">
      <c r="A34" t="s">
        <v>49</v>
      </c>
      <c r="B34">
        <v>3000</v>
      </c>
    </row>
    <row r="35" spans="1:3" ht="15.75" x14ac:dyDescent="0.25">
      <c r="A35" t="s">
        <v>50</v>
      </c>
      <c r="B35">
        <v>75000</v>
      </c>
    </row>
    <row r="36" spans="1:3" ht="15.75" x14ac:dyDescent="0.25">
      <c r="A36" t="s">
        <v>51</v>
      </c>
      <c r="B36">
        <v>60</v>
      </c>
    </row>
    <row r="38" spans="1:3" ht="15.75" x14ac:dyDescent="0.25">
      <c r="A38" t="s">
        <v>52</v>
      </c>
    </row>
    <row r="39" spans="1:3" ht="15.75" x14ac:dyDescent="0.25">
      <c r="A39" t="s">
        <v>53</v>
      </c>
      <c r="B39">
        <v>7</v>
      </c>
    </row>
    <row r="40" spans="1:3" ht="15.75" x14ac:dyDescent="0.25">
      <c r="A40" t="s">
        <v>54</v>
      </c>
      <c r="B40">
        <v>100</v>
      </c>
    </row>
    <row r="41" spans="1:3" ht="15.75" x14ac:dyDescent="0.25">
      <c r="A41" t="s">
        <v>55</v>
      </c>
      <c r="B41">
        <v>1700</v>
      </c>
    </row>
    <row r="42" spans="1:3" ht="15.75" x14ac:dyDescent="0.25">
      <c r="A42" t="s">
        <v>56</v>
      </c>
      <c r="B42">
        <v>0.08</v>
      </c>
    </row>
    <row r="44" spans="1:3" ht="15.75" x14ac:dyDescent="0.25">
      <c r="A44" t="s">
        <v>57</v>
      </c>
    </row>
    <row r="45" spans="1:3" ht="15.75" x14ac:dyDescent="0.25">
      <c r="A45" t="s">
        <v>58</v>
      </c>
      <c r="B45" t="s">
        <v>59</v>
      </c>
      <c r="C45" t="s">
        <v>60</v>
      </c>
    </row>
    <row r="46" spans="1:3" ht="15.75" x14ac:dyDescent="0.25">
      <c r="A46" t="s">
        <v>61</v>
      </c>
      <c r="B46">
        <v>1</v>
      </c>
      <c r="C46">
        <v>450</v>
      </c>
    </row>
    <row r="47" spans="1:3" ht="15.75" x14ac:dyDescent="0.25">
      <c r="A47" t="s">
        <v>62</v>
      </c>
      <c r="B47">
        <v>2</v>
      </c>
      <c r="C47">
        <v>240</v>
      </c>
    </row>
    <row r="48" spans="1:3" ht="15.75" x14ac:dyDescent="0.25">
      <c r="A48" t="s">
        <v>63</v>
      </c>
      <c r="B48">
        <v>5</v>
      </c>
      <c r="C48">
        <v>110</v>
      </c>
    </row>
    <row r="50" spans="1:3" ht="15.75" x14ac:dyDescent="0.25">
      <c r="A50" t="s">
        <v>64</v>
      </c>
    </row>
    <row r="51" spans="1:3" ht="15.75" x14ac:dyDescent="0.25">
      <c r="B51" t="s">
        <v>65</v>
      </c>
      <c r="C51" t="s">
        <v>66</v>
      </c>
    </row>
    <row r="52" spans="1:3" ht="15.75" x14ac:dyDescent="0.25">
      <c r="A52" t="s">
        <v>67</v>
      </c>
      <c r="B52">
        <v>10000</v>
      </c>
      <c r="C52">
        <v>2.5000000000000001E-2</v>
      </c>
    </row>
    <row r="53" spans="1:3" ht="15.75" x14ac:dyDescent="0.25">
      <c r="A53" t="s">
        <v>68</v>
      </c>
      <c r="B53">
        <v>12000</v>
      </c>
      <c r="C53">
        <v>1.4999999999999999E-2</v>
      </c>
    </row>
    <row r="54" spans="1:3" ht="15.75" x14ac:dyDescent="0.25">
      <c r="A54" t="s">
        <v>69</v>
      </c>
      <c r="B54">
        <v>8000</v>
      </c>
      <c r="C54">
        <v>0.02</v>
      </c>
    </row>
    <row r="55" spans="1:3" ht="15.75" x14ac:dyDescent="0.25">
      <c r="A55" t="s">
        <v>70</v>
      </c>
      <c r="B55">
        <v>500</v>
      </c>
      <c r="C55">
        <v>5.0000000000000001E-3</v>
      </c>
    </row>
    <row r="57" spans="1:3" ht="15.75" x14ac:dyDescent="0.25">
      <c r="A57" t="s">
        <v>71</v>
      </c>
    </row>
    <row r="58" spans="1:3" ht="15.75" x14ac:dyDescent="0.25">
      <c r="A58" t="s">
        <v>72</v>
      </c>
      <c r="B58">
        <v>0.4</v>
      </c>
    </row>
    <row r="59" spans="1:3" ht="15.75" x14ac:dyDescent="0.25">
      <c r="A59" t="s">
        <v>73</v>
      </c>
      <c r="B59">
        <v>0.05</v>
      </c>
    </row>
    <row r="60" spans="1:3" ht="15.75" x14ac:dyDescent="0.25">
      <c r="A60" t="s">
        <v>74</v>
      </c>
      <c r="B60">
        <v>3.7499999999999999E-2</v>
      </c>
    </row>
    <row r="61" spans="1:3" ht="15.75" x14ac:dyDescent="0.25">
      <c r="A61" t="s">
        <v>75</v>
      </c>
      <c r="B61">
        <v>0.25</v>
      </c>
    </row>
    <row r="62" spans="1:3" ht="15.75" x14ac:dyDescent="0.25">
      <c r="A62" t="s">
        <v>76</v>
      </c>
      <c r="B62">
        <v>0.2</v>
      </c>
    </row>
  </sheetData>
  <pageMargins left="0.7" right="0.7" top="0.75" bottom="0.75" header="0.3" footer="0.3"/>
  <ignoredErrors>
    <ignoredError sqref="A1:D6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6"/>
  <sheetViews>
    <sheetView workbookViewId="0"/>
  </sheetViews>
  <sheetFormatPr baseColWidth="10" defaultRowHeight="15" x14ac:dyDescent="0.25"/>
  <sheetData>
    <row r="1" spans="1:4" ht="15.75" x14ac:dyDescent="0.25">
      <c r="A1" t="s">
        <v>77</v>
      </c>
    </row>
    <row r="3" spans="1:4" ht="15.75" x14ac:dyDescent="0.25">
      <c r="A3" t="s">
        <v>78</v>
      </c>
    </row>
    <row r="4" spans="1:4" ht="15.75" x14ac:dyDescent="0.25">
      <c r="B4" t="s">
        <v>32</v>
      </c>
      <c r="C4" t="s">
        <v>33</v>
      </c>
      <c r="D4" t="s">
        <v>34</v>
      </c>
    </row>
    <row r="5" spans="1:4" ht="15.75" x14ac:dyDescent="0.25">
      <c r="A5" t="s">
        <v>79</v>
      </c>
      <c r="B5">
        <v>80</v>
      </c>
      <c r="C5">
        <v>0</v>
      </c>
      <c r="D5">
        <v>0</v>
      </c>
    </row>
    <row r="7" spans="1:4" ht="15.75" x14ac:dyDescent="0.25">
      <c r="A7" t="s">
        <v>80</v>
      </c>
    </row>
    <row r="8" spans="1:4" ht="15.75" x14ac:dyDescent="0.25">
      <c r="A8" t="s">
        <v>81</v>
      </c>
      <c r="B8">
        <f>Parametres!B27*Parametres!B28</f>
        <v>800</v>
      </c>
    </row>
    <row r="9" spans="1:4" ht="15.75" x14ac:dyDescent="0.25">
      <c r="A9" t="s">
        <v>82</v>
      </c>
      <c r="B9">
        <f>Parametres!B27*Parametres!B29</f>
        <v>1200</v>
      </c>
    </row>
    <row r="11" spans="1:4" ht="15.75" x14ac:dyDescent="0.25">
      <c r="A11" t="s">
        <v>83</v>
      </c>
    </row>
    <row r="12" spans="1:4" ht="15.75" x14ac:dyDescent="0.25">
      <c r="A12" t="s">
        <v>84</v>
      </c>
      <c r="B12">
        <f>B5*Parametres!B21+C5*Parametres!C21+D5*Parametres!D21</f>
        <v>640</v>
      </c>
    </row>
    <row r="13" spans="1:4" ht="15.75" x14ac:dyDescent="0.25">
      <c r="A13" t="s">
        <v>85</v>
      </c>
      <c r="B13">
        <f>B5*Parametres!B22+C5*Parametres!C22+D5*Parametres!D22</f>
        <v>800</v>
      </c>
    </row>
    <row r="15" spans="1:4" ht="15.75" x14ac:dyDescent="0.25">
      <c r="A15" t="s">
        <v>86</v>
      </c>
    </row>
    <row r="16" spans="1:4" ht="15.75" x14ac:dyDescent="0.25">
      <c r="A16" t="s">
        <v>87</v>
      </c>
      <c r="B16" s="1">
        <f>IF(B8&gt;0,B12/B8,0)</f>
        <v>0.8</v>
      </c>
    </row>
    <row r="17" spans="1:2" ht="15.75" x14ac:dyDescent="0.25">
      <c r="A17" t="s">
        <v>88</v>
      </c>
      <c r="B17" s="1">
        <f>IF(B9&gt;0,B13/B9,0)</f>
        <v>0.66666666666666663</v>
      </c>
    </row>
    <row r="19" spans="1:2" ht="15.75" x14ac:dyDescent="0.25">
      <c r="A19" t="s">
        <v>89</v>
      </c>
    </row>
    <row r="20" spans="1:2" ht="15.75" x14ac:dyDescent="0.25">
      <c r="A20" t="s">
        <v>90</v>
      </c>
      <c r="B20" t="str">
        <f>IF(B12&gt;B8,"DEPASSEMENT MOULAGE",IF(B12=B8,"AU MAX","OK"))</f>
        <v>OK</v>
      </c>
    </row>
    <row r="21" spans="1:2" ht="15.75" x14ac:dyDescent="0.25">
      <c r="A21" t="s">
        <v>88</v>
      </c>
      <c r="B21" t="str">
        <f>IF(B13&gt;B9,"DEPASSEMENT FINITION",IF(B13=B9,"AU MAX","OK"))</f>
        <v>OK</v>
      </c>
    </row>
    <row r="23" spans="1:2" ht="15.75" x14ac:dyDescent="0.25">
      <c r="A23" t="s">
        <v>91</v>
      </c>
    </row>
    <row r="24" spans="1:2" ht="15.75" x14ac:dyDescent="0.25">
      <c r="A24" t="s">
        <v>92</v>
      </c>
      <c r="B24">
        <f>INT(MIN(Parametres!B27*Parametres!B28/Parametres!B21,Parametres!B27*Parametres!B29/Parametres!B22))</f>
        <v>100</v>
      </c>
    </row>
    <row r="25" spans="1:2" ht="15.75" x14ac:dyDescent="0.25">
      <c r="A25" t="s">
        <v>93</v>
      </c>
      <c r="B25">
        <f>INT(MIN(Parametres!B27*Parametres!B28/Parametres!C21,Parametres!B27*Parametres!B29/Parametres!C22))</f>
        <v>66</v>
      </c>
    </row>
    <row r="26" spans="1:2" ht="15.75" x14ac:dyDescent="0.25">
      <c r="A26" t="s">
        <v>94</v>
      </c>
      <c r="B26">
        <f>INT(MIN(Parametres!B27*Parametres!B28/Parametres!D21,Parametres!B27*Parametres!B29/Parametres!D22))</f>
        <v>28</v>
      </c>
    </row>
  </sheetData>
  <pageMargins left="0.7" right="0.7" top="0.75" bottom="0.75" header="0.3" footer="0.3"/>
  <ignoredErrors>
    <ignoredError sqref="A1:D7 A10:D11 A8 C8:D8 A9 C9:D9 A14:D15 A12 C12:D12 A13 C13:D13 A18:D19 A16 C16:D16 A17 C17:D17 A22:D23 A20 C20:D20 A21 C21:D21 A26 A24 C24:D24 A25 C25:D25 C26:D26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4"/>
  <sheetViews>
    <sheetView workbookViewId="0"/>
  </sheetViews>
  <sheetFormatPr baseColWidth="10" defaultRowHeight="15" x14ac:dyDescent="0.25"/>
  <sheetData>
    <row r="1" spans="1:4" ht="15.75" x14ac:dyDescent="0.25">
      <c r="A1" t="s">
        <v>95</v>
      </c>
    </row>
    <row r="3" spans="1:4" ht="15.75" x14ac:dyDescent="0.25">
      <c r="A3" t="s">
        <v>96</v>
      </c>
      <c r="B3" t="s">
        <v>32</v>
      </c>
      <c r="C3" t="s">
        <v>33</v>
      </c>
      <c r="D3" t="s">
        <v>34</v>
      </c>
    </row>
    <row r="4" spans="1:4" ht="15.75" x14ac:dyDescent="0.25">
      <c r="A4" t="s">
        <v>97</v>
      </c>
      <c r="B4">
        <f>Parametres!B16*Parametres!B11</f>
        <v>840</v>
      </c>
      <c r="C4">
        <f>Parametres!C16*Parametres!B11</f>
        <v>1680</v>
      </c>
      <c r="D4">
        <f>Parametres!D16*Parametres!B11</f>
        <v>4200</v>
      </c>
    </row>
    <row r="5" spans="1:4" ht="15.75" x14ac:dyDescent="0.25">
      <c r="A5" t="s">
        <v>98</v>
      </c>
      <c r="B5">
        <f>Parametres!B17*Parametres!B12</f>
        <v>145</v>
      </c>
      <c r="C5">
        <f>Parametres!C17*Parametres!B12</f>
        <v>290</v>
      </c>
      <c r="D5">
        <f>Parametres!D17*Parametres!B12</f>
        <v>725</v>
      </c>
    </row>
    <row r="6" spans="1:4" ht="15.75" x14ac:dyDescent="0.25">
      <c r="A6" t="s">
        <v>99</v>
      </c>
      <c r="B6">
        <f>Parametres!B21*Parametres!B25</f>
        <v>200</v>
      </c>
      <c r="C6">
        <f>Parametres!C21*Parametres!B25</f>
        <v>300</v>
      </c>
      <c r="D6">
        <f>Parametres!D21*Parametres!B25</f>
        <v>700</v>
      </c>
    </row>
    <row r="7" spans="1:4" ht="15.75" x14ac:dyDescent="0.25">
      <c r="A7" t="s">
        <v>100</v>
      </c>
      <c r="B7">
        <f>Parametres!B22*Parametres!B26</f>
        <v>350</v>
      </c>
      <c r="C7">
        <f>Parametres!C22*Parametres!B26</f>
        <v>490</v>
      </c>
      <c r="D7">
        <f>Parametres!D22*Parametres!B26</f>
        <v>980</v>
      </c>
    </row>
    <row r="8" spans="1:4" ht="15.75" x14ac:dyDescent="0.25">
      <c r="A8" t="s">
        <v>101</v>
      </c>
      <c r="B8">
        <f>SUM(B4:B7)</f>
        <v>1535</v>
      </c>
      <c r="C8">
        <f>SUM(C4:C7)</f>
        <v>2760</v>
      </c>
      <c r="D8">
        <f>SUM(D4:D7)</f>
        <v>6605</v>
      </c>
    </row>
    <row r="10" spans="1:4" ht="15.75" x14ac:dyDescent="0.25">
      <c r="A10" t="s">
        <v>102</v>
      </c>
    </row>
    <row r="11" spans="1:4" ht="15.75" x14ac:dyDescent="0.25">
      <c r="A11" t="s">
        <v>103</v>
      </c>
      <c r="B11">
        <f>Parametres!B32*(Parametres!B28+Parametres!B29)+Parametres!B33+Parametres!B34+(Parametres!B28+Parametres!B29)*Parametres!B35/Parametres!B36</f>
        <v>39500</v>
      </c>
    </row>
    <row r="12" spans="1:4" ht="15.75" x14ac:dyDescent="0.25">
      <c r="A12" t="s">
        <v>104</v>
      </c>
      <c r="B12">
        <f>Production!B5+Production!C5+Production!D5</f>
        <v>80</v>
      </c>
    </row>
    <row r="13" spans="1:4" ht="15.75" x14ac:dyDescent="0.25">
      <c r="A13" t="s">
        <v>105</v>
      </c>
      <c r="B13">
        <f>IF(B12&gt;0,B11/B12,0)</f>
        <v>493.75</v>
      </c>
    </row>
    <row r="14" spans="1:4" ht="15.75" x14ac:dyDescent="0.25">
      <c r="A14" t="s">
        <v>106</v>
      </c>
      <c r="B14">
        <f>B8+$B$13</f>
        <v>2028.75</v>
      </c>
      <c r="C14">
        <f>C8+$B$13</f>
        <v>3253.75</v>
      </c>
      <c r="D14">
        <f>D8+$B$13</f>
        <v>7098.75</v>
      </c>
    </row>
  </sheetData>
  <pageMargins left="0.7" right="0.7" top="0.75" bottom="0.75" header="0.3" footer="0.3"/>
  <ignoredErrors>
    <ignoredError sqref="A1:D3 A9:D10 A4 A5 A6 A7 A8 A14 A11 C11:D11 A12 C12:D12 A13 C13:D13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7"/>
  <sheetViews>
    <sheetView workbookViewId="0"/>
  </sheetViews>
  <sheetFormatPr baseColWidth="10" defaultRowHeight="15" x14ac:dyDescent="0.25"/>
  <sheetData>
    <row r="1" spans="1:4" ht="15.75" x14ac:dyDescent="0.25">
      <c r="A1" t="s">
        <v>107</v>
      </c>
    </row>
    <row r="3" spans="1:4" ht="15.75" x14ac:dyDescent="0.25">
      <c r="A3" t="s">
        <v>108</v>
      </c>
    </row>
    <row r="4" spans="1:4" ht="15.75" x14ac:dyDescent="0.25">
      <c r="B4" t="s">
        <v>32</v>
      </c>
      <c r="C4" t="s">
        <v>33</v>
      </c>
      <c r="D4" t="s">
        <v>34</v>
      </c>
    </row>
    <row r="5" spans="1:4" ht="15.75" x14ac:dyDescent="0.25">
      <c r="A5" t="s">
        <v>109</v>
      </c>
      <c r="B5">
        <v>0</v>
      </c>
      <c r="C5">
        <v>0</v>
      </c>
      <c r="D5">
        <v>0</v>
      </c>
    </row>
    <row r="6" spans="1:4" ht="15.75" x14ac:dyDescent="0.25">
      <c r="A6" t="s">
        <v>110</v>
      </c>
      <c r="B6">
        <f>CoutRevient!B8</f>
        <v>1535</v>
      </c>
      <c r="C6">
        <f>CoutRevient!C8</f>
        <v>2760</v>
      </c>
      <c r="D6">
        <f>CoutRevient!D8</f>
        <v>6605</v>
      </c>
    </row>
    <row r="7" spans="1:4" ht="15.75" x14ac:dyDescent="0.25">
      <c r="A7" t="s">
        <v>111</v>
      </c>
      <c r="B7">
        <f>B5-B6</f>
        <v>-1535</v>
      </c>
      <c r="C7">
        <f>C5-C6</f>
        <v>-2760</v>
      </c>
      <c r="D7">
        <f>D5-D6</f>
        <v>-6605</v>
      </c>
    </row>
    <row r="8" spans="1:4" ht="15.75" x14ac:dyDescent="0.25">
      <c r="A8" t="s">
        <v>112</v>
      </c>
      <c r="B8" s="1">
        <f>IF(B5&gt;0,B7/B5,0)</f>
        <v>0</v>
      </c>
      <c r="C8" s="1">
        <f>IF(C5&gt;0,C7/C5,0)</f>
        <v>0</v>
      </c>
      <c r="D8" s="1">
        <f>IF(D5&gt;0,D7/D5,0)</f>
        <v>0</v>
      </c>
    </row>
    <row r="10" spans="1:4" ht="15.75" x14ac:dyDescent="0.25">
      <c r="A10" t="s">
        <v>113</v>
      </c>
    </row>
    <row r="11" spans="1:4" ht="15.75" x14ac:dyDescent="0.25">
      <c r="A11" t="s">
        <v>114</v>
      </c>
      <c r="B11">
        <f>Parametres!B21</f>
        <v>8</v>
      </c>
      <c r="C11">
        <f>Parametres!C21</f>
        <v>12</v>
      </c>
      <c r="D11">
        <f>Parametres!D21</f>
        <v>28</v>
      </c>
    </row>
    <row r="12" spans="1:4" ht="15.75" x14ac:dyDescent="0.25">
      <c r="A12" t="s">
        <v>115</v>
      </c>
      <c r="B12">
        <f>IF(B11&gt;0,B7/B11,0)</f>
        <v>-191.875</v>
      </c>
      <c r="C12">
        <f>IF(C11&gt;0,C7/C11,0)</f>
        <v>-230</v>
      </c>
      <c r="D12">
        <f>IF(D11&gt;0,D7/D11,0)</f>
        <v>-235.89285714285714</v>
      </c>
    </row>
    <row r="14" spans="1:4" ht="15.75" x14ac:dyDescent="0.25">
      <c r="A14" t="s">
        <v>116</v>
      </c>
    </row>
    <row r="15" spans="1:4" ht="15.75" x14ac:dyDescent="0.25">
      <c r="A15" t="s">
        <v>117</v>
      </c>
      <c r="B15">
        <f>Production!B5</f>
        <v>80</v>
      </c>
      <c r="C15">
        <f>Production!C5</f>
        <v>0</v>
      </c>
      <c r="D15">
        <f>Production!D5</f>
        <v>0</v>
      </c>
    </row>
    <row r="16" spans="1:4" ht="15.75" x14ac:dyDescent="0.25">
      <c r="A16" t="s">
        <v>118</v>
      </c>
      <c r="B16">
        <f>B7*B15</f>
        <v>-122800</v>
      </c>
      <c r="C16">
        <f>C7*C15</f>
        <v>0</v>
      </c>
      <c r="D16">
        <f>D7*D15</f>
        <v>0</v>
      </c>
    </row>
    <row r="17" spans="1:2" ht="15.75" x14ac:dyDescent="0.25">
      <c r="A17" t="s">
        <v>119</v>
      </c>
      <c r="B17">
        <f>SUM(B16:D16)</f>
        <v>-122800</v>
      </c>
    </row>
  </sheetData>
  <pageMargins left="0.7" right="0.7" top="0.75" bottom="0.75" header="0.3" footer="0.3"/>
  <ignoredErrors>
    <ignoredError sqref="A1:D5 A9:D10 A6 A7 A8 A13:D14 A11 A12 A17 A15 A16 C17:D17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6"/>
  <sheetViews>
    <sheetView workbookViewId="0"/>
  </sheetViews>
  <sheetFormatPr baseColWidth="10" defaultRowHeight="15" x14ac:dyDescent="0.25"/>
  <sheetData>
    <row r="1" spans="1:2" ht="15.75" x14ac:dyDescent="0.25">
      <c r="A1" t="s">
        <v>120</v>
      </c>
    </row>
    <row r="3" spans="1:2" ht="15.75" x14ac:dyDescent="0.25">
      <c r="A3" t="s">
        <v>121</v>
      </c>
    </row>
    <row r="4" spans="1:2" ht="15.75" x14ac:dyDescent="0.25">
      <c r="A4" t="s">
        <v>122</v>
      </c>
      <c r="B4">
        <f>Marges!B5*Production!B5+Marges!C5*Production!C5+Marges!D5*Production!D5</f>
        <v>0</v>
      </c>
    </row>
    <row r="6" spans="1:2" ht="15.75" x14ac:dyDescent="0.25">
      <c r="A6" t="s">
        <v>123</v>
      </c>
    </row>
    <row r="7" spans="1:2" ht="15.75" x14ac:dyDescent="0.25">
      <c r="A7" t="s">
        <v>124</v>
      </c>
      <c r="B7">
        <f>(Production!B5*Parametres!B16+Production!C5*Parametres!C16+Production!D5*Parametres!D16)*Parametres!B11+(Production!B5*Parametres!B17+Production!C5*Parametres!C17+Production!D5*Parametres!D17)*Parametres!B12</f>
        <v>78800</v>
      </c>
    </row>
    <row r="8" spans="1:2" ht="15.75" x14ac:dyDescent="0.25">
      <c r="A8" t="s">
        <v>125</v>
      </c>
      <c r="B8">
        <f>Production!B12*Parametres!B25+Production!B13*Parametres!B26</f>
        <v>44000</v>
      </c>
    </row>
    <row r="9" spans="1:2" ht="15.75" x14ac:dyDescent="0.25">
      <c r="A9" t="s">
        <v>126</v>
      </c>
      <c r="B9">
        <f>CoutRevient!B11</f>
        <v>39500</v>
      </c>
    </row>
    <row r="10" spans="1:2" ht="15.75" x14ac:dyDescent="0.25">
      <c r="A10" t="s">
        <v>127</v>
      </c>
      <c r="B10">
        <f>Parametres!B39*Parametres!B40/100*Parametres!B41</f>
        <v>11900</v>
      </c>
    </row>
    <row r="11" spans="1:2" ht="15.75" x14ac:dyDescent="0.25">
      <c r="A11" t="s">
        <v>128</v>
      </c>
      <c r="B11">
        <f>Parametres!B42*B4</f>
        <v>0</v>
      </c>
    </row>
    <row r="12" spans="1:2" ht="15.75" x14ac:dyDescent="0.25">
      <c r="A12" t="s">
        <v>129</v>
      </c>
      <c r="B12">
        <f>(Parametres!B46*Parametres!C46+Parametres!B47*Parametres!C47+Parametres!B48*Parametres!C48)/100*Parametres!B41</f>
        <v>25160</v>
      </c>
    </row>
    <row r="13" spans="1:2" ht="15.75" x14ac:dyDescent="0.25">
      <c r="A13" t="s">
        <v>130</v>
      </c>
    </row>
    <row r="14" spans="1:2" ht="15.75" x14ac:dyDescent="0.25">
      <c r="A14" t="s">
        <v>131</v>
      </c>
      <c r="B14">
        <f>Parametres!B58*(B10+B12)</f>
        <v>14824</v>
      </c>
    </row>
    <row r="15" spans="1:2" ht="15.75" x14ac:dyDescent="0.25">
      <c r="A15" t="s">
        <v>132</v>
      </c>
      <c r="B15">
        <f>Parametres!B59*(B10+B12)</f>
        <v>1853</v>
      </c>
    </row>
    <row r="16" spans="1:2" ht="15.75" x14ac:dyDescent="0.25">
      <c r="A16" t="s">
        <v>133</v>
      </c>
      <c r="B16">
        <v>12000</v>
      </c>
    </row>
    <row r="17" spans="1:2" ht="15.75" x14ac:dyDescent="0.25">
      <c r="A17" t="s">
        <v>134</v>
      </c>
      <c r="B17">
        <v>0</v>
      </c>
    </row>
    <row r="18" spans="1:2" ht="15.75" x14ac:dyDescent="0.25">
      <c r="A18" t="s">
        <v>135</v>
      </c>
      <c r="B18">
        <f>Parametres!B52+Parametres!B53+Parametres!B54+Parametres!B55+(Parametres!C52+Parametres!C53+Parametres!C54+Parametres!C55)*B4</f>
        <v>30500</v>
      </c>
    </row>
    <row r="19" spans="1:2" ht="15.75" x14ac:dyDescent="0.25">
      <c r="A19" t="s">
        <v>136</v>
      </c>
      <c r="B19">
        <f>Parametres!B60*B4</f>
        <v>0</v>
      </c>
    </row>
    <row r="20" spans="1:2" ht="15.75" x14ac:dyDescent="0.25">
      <c r="A20" t="s">
        <v>137</v>
      </c>
      <c r="B20">
        <f>SUM(B7:B19)</f>
        <v>258537</v>
      </c>
    </row>
    <row r="22" spans="1:2" ht="15.75" x14ac:dyDescent="0.25">
      <c r="A22" t="s">
        <v>138</v>
      </c>
      <c r="B22">
        <f>B4-B20</f>
        <v>-258537</v>
      </c>
    </row>
    <row r="23" spans="1:2" ht="15.75" x14ac:dyDescent="0.25">
      <c r="A23" t="s">
        <v>139</v>
      </c>
      <c r="B23">
        <f>IF(B22&gt;0,Parametres!B61*B22,0)</f>
        <v>0</v>
      </c>
    </row>
    <row r="24" spans="1:2" ht="15.75" x14ac:dyDescent="0.25">
      <c r="A24" t="s">
        <v>140</v>
      </c>
      <c r="B24">
        <f>B22-B23</f>
        <v>-258537</v>
      </c>
    </row>
    <row r="26" spans="1:2" ht="15.75" x14ac:dyDescent="0.25">
      <c r="A26" t="s">
        <v>141</v>
      </c>
      <c r="B26">
        <f>B24*3</f>
        <v>-775611</v>
      </c>
    </row>
  </sheetData>
  <pageMargins left="0.7" right="0.7" top="0.75" bottom="0.75" header="0.3" footer="0.3"/>
  <ignoredErrors>
    <ignoredError sqref="A1:B3 A5:B6 A4 A13:B13 A7 A8 A9 A10 A11 A12 A16:B17 A14 A15 A21:B21 A18 A19 A20 A25:B25 A22 A23 A24 A26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31"/>
  <sheetViews>
    <sheetView workbookViewId="0"/>
  </sheetViews>
  <sheetFormatPr baseColWidth="10" defaultRowHeight="15" x14ac:dyDescent="0.25"/>
  <sheetData>
    <row r="1" spans="1:2" ht="15.75" x14ac:dyDescent="0.25">
      <c r="A1" t="s">
        <v>142</v>
      </c>
    </row>
    <row r="3" spans="1:2" ht="15.75" x14ac:dyDescent="0.25">
      <c r="A3" t="s">
        <v>143</v>
      </c>
    </row>
    <row r="4" spans="1:2" ht="15.75" x14ac:dyDescent="0.25">
      <c r="A4" t="s">
        <v>144</v>
      </c>
      <c r="B4" t="s">
        <v>145</v>
      </c>
    </row>
    <row r="5" spans="1:2" ht="15.75" x14ac:dyDescent="0.25">
      <c r="A5" t="s">
        <v>146</v>
      </c>
      <c r="B5">
        <v>0</v>
      </c>
    </row>
    <row r="6" spans="1:2" ht="15.75" x14ac:dyDescent="0.25">
      <c r="A6" t="s">
        <v>147</v>
      </c>
      <c r="B6" t="s">
        <v>148</v>
      </c>
    </row>
    <row r="7" spans="1:2" ht="15.75" x14ac:dyDescent="0.25">
      <c r="A7" t="s">
        <v>149</v>
      </c>
      <c r="B7">
        <v>0</v>
      </c>
    </row>
    <row r="9" spans="1:2" ht="15.75" x14ac:dyDescent="0.25">
      <c r="A9" t="s">
        <v>150</v>
      </c>
    </row>
    <row r="10" spans="1:2" ht="15.75" x14ac:dyDescent="0.25">
      <c r="A10" t="s">
        <v>151</v>
      </c>
      <c r="B10">
        <f>Production!B5</f>
        <v>80</v>
      </c>
    </row>
    <row r="11" spans="1:2" ht="15.75" x14ac:dyDescent="0.25">
      <c r="A11" t="s">
        <v>152</v>
      </c>
      <c r="B11">
        <f>Production!C5</f>
        <v>0</v>
      </c>
    </row>
    <row r="12" spans="1:2" ht="15.75" x14ac:dyDescent="0.25">
      <c r="A12" t="s">
        <v>153</v>
      </c>
      <c r="B12">
        <f>Production!D5</f>
        <v>0</v>
      </c>
    </row>
    <row r="13" spans="1:2" ht="15.75" x14ac:dyDescent="0.25">
      <c r="A13" t="s">
        <v>154</v>
      </c>
      <c r="B13">
        <v>0</v>
      </c>
    </row>
    <row r="14" spans="1:2" ht="15.75" x14ac:dyDescent="0.25">
      <c r="A14" t="s">
        <v>155</v>
      </c>
      <c r="B14">
        <v>0</v>
      </c>
    </row>
    <row r="16" spans="1:2" ht="15.75" x14ac:dyDescent="0.25">
      <c r="A16" t="s">
        <v>156</v>
      </c>
    </row>
    <row r="17" spans="1:4" ht="15.75" x14ac:dyDescent="0.25">
      <c r="A17" t="s">
        <v>157</v>
      </c>
      <c r="B17">
        <f>Marges!B5</f>
        <v>0</v>
      </c>
    </row>
    <row r="18" spans="1:4" ht="15.75" x14ac:dyDescent="0.25">
      <c r="A18" t="s">
        <v>158</v>
      </c>
      <c r="B18">
        <f>Marges!C5</f>
        <v>0</v>
      </c>
    </row>
    <row r="19" spans="1:4" ht="15.75" x14ac:dyDescent="0.25">
      <c r="A19" t="s">
        <v>159</v>
      </c>
      <c r="B19">
        <f>Marges!D5</f>
        <v>0</v>
      </c>
    </row>
    <row r="20" spans="1:4" ht="15.75" x14ac:dyDescent="0.25">
      <c r="A20" t="s">
        <v>160</v>
      </c>
      <c r="B20">
        <v>12000</v>
      </c>
    </row>
    <row r="21" spans="1:4" ht="15.75" x14ac:dyDescent="0.25">
      <c r="A21" t="s">
        <v>161</v>
      </c>
      <c r="B21" t="s">
        <v>162</v>
      </c>
    </row>
    <row r="22" spans="1:4" ht="15.75" x14ac:dyDescent="0.25">
      <c r="A22" t="s">
        <v>163</v>
      </c>
      <c r="B22" t="s">
        <v>162</v>
      </c>
    </row>
    <row r="23" spans="1:4" ht="15.75" x14ac:dyDescent="0.25">
      <c r="A23" t="s">
        <v>164</v>
      </c>
      <c r="B23">
        <v>0</v>
      </c>
      <c r="C23">
        <v>0</v>
      </c>
      <c r="D23">
        <v>0</v>
      </c>
    </row>
    <row r="24" spans="1:4" ht="15.75" x14ac:dyDescent="0.25">
      <c r="A24" t="s">
        <v>165</v>
      </c>
      <c r="B24" t="s">
        <v>166</v>
      </c>
    </row>
    <row r="25" spans="1:4" ht="15.75" x14ac:dyDescent="0.25">
      <c r="A25" t="s">
        <v>167</v>
      </c>
      <c r="B25">
        <v>0</v>
      </c>
    </row>
    <row r="27" spans="1:4" ht="15.75" x14ac:dyDescent="0.25">
      <c r="A27" t="s">
        <v>168</v>
      </c>
    </row>
    <row r="28" spans="1:4" ht="15.75" x14ac:dyDescent="0.25">
      <c r="A28" t="s">
        <v>169</v>
      </c>
    </row>
    <row r="30" spans="1:4" ht="15.75" x14ac:dyDescent="0.25">
      <c r="A30" t="s">
        <v>170</v>
      </c>
    </row>
    <row r="31" spans="1:4" ht="15.75" x14ac:dyDescent="0.25">
      <c r="A31" t="s">
        <v>171</v>
      </c>
      <c r="B31" t="s">
        <v>172</v>
      </c>
    </row>
  </sheetData>
  <pageMargins left="0.7" right="0.7" top="0.75" bottom="0.75" header="0.3" footer="0.3"/>
  <ignoredErrors>
    <ignoredError sqref="A1:D9 A13:D16 A10 C10:D10 A11 C11:D11 A12 C12:D12 A20:D31 A17 C17:D17 A18 C18:D18 A19 C19:D1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README</vt:lpstr>
      <vt:lpstr>Parametres</vt:lpstr>
      <vt:lpstr>Production</vt:lpstr>
      <vt:lpstr>CoutRevient</vt:lpstr>
      <vt:lpstr>Marges</vt:lpstr>
      <vt:lpstr>Resultat</vt:lpstr>
      <vt:lpstr>Decisions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Romeo P</cp:lastModifiedBy>
  <dcterms:modified xsi:type="dcterms:W3CDTF">2026-06-08T22:05:35Z</dcterms:modified>
</cp:coreProperties>
</file>